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PC\Documents\DATA SCIENCE (10ANALYTICS)\2. Dashboarding\"/>
    </mc:Choice>
  </mc:AlternateContent>
  <xr:revisionPtr revIDLastSave="0" documentId="13_ncr:1_{BCB5D93D-2443-404A-B0B4-B426368CFA00}" xr6:coauthVersionLast="47" xr6:coauthVersionMax="47" xr10:uidLastSave="{00000000-0000-0000-0000-000000000000}"/>
  <bookViews>
    <workbookView xWindow="-108" yWindow="-108" windowWidth="23256" windowHeight="12456" tabRatio="599" activeTab="1" xr2:uid="{2A8D8132-C9EE-4994-93FB-DC27041C27BF}"/>
  </bookViews>
  <sheets>
    <sheet name="Data" sheetId="3" r:id="rId1"/>
    <sheet name="Pivot Tables" sheetId="4" r:id="rId2"/>
    <sheet name="Dashboard" sheetId="6" r:id="rId3"/>
  </sheets>
  <definedNames>
    <definedName name="_xlnm._FilterDatabase" localSheetId="0" hidden="1">Data!$A$1:$R$121</definedName>
    <definedName name="Slicer_Months__Sale_Date">#N/A</definedName>
    <definedName name="Slicer_Product">#N/A</definedName>
    <definedName name="Slicer_Region">#N/A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2" i="4" l="1"/>
  <c r="R121" i="3" l="1"/>
  <c r="Q121" i="3"/>
  <c r="O121" i="3"/>
  <c r="P121" i="3" s="1"/>
  <c r="I121" i="3"/>
  <c r="G121" i="3"/>
  <c r="R120" i="3"/>
  <c r="Q120" i="3"/>
  <c r="O120" i="3"/>
  <c r="P120" i="3" s="1"/>
  <c r="I120" i="3"/>
  <c r="G120" i="3"/>
  <c r="R119" i="3"/>
  <c r="Q119" i="3"/>
  <c r="O119" i="3"/>
  <c r="P119" i="3" s="1"/>
  <c r="I119" i="3"/>
  <c r="G119" i="3"/>
  <c r="R118" i="3"/>
  <c r="Q118" i="3"/>
  <c r="O118" i="3"/>
  <c r="P118" i="3" s="1"/>
  <c r="I118" i="3"/>
  <c r="G118" i="3"/>
  <c r="R117" i="3"/>
  <c r="Q117" i="3"/>
  <c r="O117" i="3"/>
  <c r="P117" i="3" s="1"/>
  <c r="I117" i="3"/>
  <c r="G117" i="3"/>
  <c r="R116" i="3"/>
  <c r="Q116" i="3"/>
  <c r="O116" i="3"/>
  <c r="P116" i="3" s="1"/>
  <c r="I116" i="3"/>
  <c r="G116" i="3"/>
  <c r="R115" i="3"/>
  <c r="Q115" i="3"/>
  <c r="O115" i="3"/>
  <c r="P115" i="3" s="1"/>
  <c r="I115" i="3"/>
  <c r="G115" i="3"/>
  <c r="R114" i="3"/>
  <c r="Q114" i="3"/>
  <c r="O114" i="3"/>
  <c r="P114" i="3" s="1"/>
  <c r="I114" i="3"/>
  <c r="G114" i="3"/>
  <c r="R113" i="3"/>
  <c r="Q113" i="3"/>
  <c r="O113" i="3"/>
  <c r="P113" i="3" s="1"/>
  <c r="I113" i="3"/>
  <c r="G113" i="3"/>
  <c r="R112" i="3"/>
  <c r="Q112" i="3"/>
  <c r="O112" i="3"/>
  <c r="P112" i="3" s="1"/>
  <c r="I112" i="3"/>
  <c r="G112" i="3"/>
  <c r="R111" i="3"/>
  <c r="Q111" i="3"/>
  <c r="O111" i="3"/>
  <c r="P111" i="3" s="1"/>
  <c r="I111" i="3"/>
  <c r="G111" i="3"/>
  <c r="R110" i="3"/>
  <c r="Q110" i="3"/>
  <c r="O110" i="3"/>
  <c r="P110" i="3" s="1"/>
  <c r="I110" i="3"/>
  <c r="G110" i="3"/>
  <c r="R109" i="3"/>
  <c r="Q109" i="3"/>
  <c r="O109" i="3"/>
  <c r="P109" i="3" s="1"/>
  <c r="I109" i="3"/>
  <c r="G109" i="3"/>
  <c r="R108" i="3"/>
  <c r="Q108" i="3"/>
  <c r="O108" i="3"/>
  <c r="P108" i="3" s="1"/>
  <c r="I108" i="3"/>
  <c r="G108" i="3"/>
  <c r="R107" i="3"/>
  <c r="Q107" i="3"/>
  <c r="O107" i="3"/>
  <c r="P107" i="3" s="1"/>
  <c r="I107" i="3"/>
  <c r="G107" i="3"/>
  <c r="R106" i="3"/>
  <c r="Q106" i="3"/>
  <c r="O106" i="3"/>
  <c r="P106" i="3" s="1"/>
  <c r="I106" i="3"/>
  <c r="G106" i="3"/>
  <c r="R105" i="3"/>
  <c r="Q105" i="3"/>
  <c r="O105" i="3"/>
  <c r="P105" i="3" s="1"/>
  <c r="I105" i="3"/>
  <c r="G105" i="3"/>
  <c r="R104" i="3"/>
  <c r="Q104" i="3"/>
  <c r="O104" i="3"/>
  <c r="P104" i="3" s="1"/>
  <c r="I104" i="3"/>
  <c r="G104" i="3"/>
  <c r="R103" i="3"/>
  <c r="Q103" i="3"/>
  <c r="O103" i="3"/>
  <c r="P103" i="3" s="1"/>
  <c r="I103" i="3"/>
  <c r="G103" i="3"/>
  <c r="R102" i="3"/>
  <c r="Q102" i="3"/>
  <c r="O102" i="3"/>
  <c r="P102" i="3" s="1"/>
  <c r="I102" i="3"/>
  <c r="G102" i="3"/>
  <c r="R101" i="3"/>
  <c r="Q101" i="3"/>
  <c r="O101" i="3"/>
  <c r="P101" i="3" s="1"/>
  <c r="I101" i="3"/>
  <c r="G101" i="3"/>
  <c r="R100" i="3"/>
  <c r="Q100" i="3"/>
  <c r="O100" i="3"/>
  <c r="P100" i="3" s="1"/>
  <c r="I100" i="3"/>
  <c r="G100" i="3"/>
  <c r="R99" i="3"/>
  <c r="Q99" i="3"/>
  <c r="O99" i="3"/>
  <c r="P99" i="3" s="1"/>
  <c r="I99" i="3"/>
  <c r="G99" i="3"/>
  <c r="R98" i="3"/>
  <c r="Q98" i="3"/>
  <c r="O98" i="3"/>
  <c r="P98" i="3" s="1"/>
  <c r="I98" i="3"/>
  <c r="G98" i="3"/>
  <c r="R97" i="3"/>
  <c r="Q97" i="3"/>
  <c r="O97" i="3"/>
  <c r="P97" i="3" s="1"/>
  <c r="I97" i="3"/>
  <c r="G97" i="3"/>
  <c r="R96" i="3"/>
  <c r="Q96" i="3"/>
  <c r="O96" i="3"/>
  <c r="P96" i="3" s="1"/>
  <c r="I96" i="3"/>
  <c r="G96" i="3"/>
  <c r="R95" i="3"/>
  <c r="Q95" i="3"/>
  <c r="O95" i="3"/>
  <c r="P95" i="3" s="1"/>
  <c r="I95" i="3"/>
  <c r="G95" i="3"/>
  <c r="R94" i="3"/>
  <c r="Q94" i="3"/>
  <c r="O94" i="3"/>
  <c r="P94" i="3" s="1"/>
  <c r="I94" i="3"/>
  <c r="G94" i="3"/>
  <c r="R93" i="3"/>
  <c r="Q93" i="3"/>
  <c r="O93" i="3"/>
  <c r="P93" i="3" s="1"/>
  <c r="I93" i="3"/>
  <c r="G93" i="3"/>
  <c r="R92" i="3"/>
  <c r="Q92" i="3"/>
  <c r="O92" i="3"/>
  <c r="P92" i="3" s="1"/>
  <c r="I92" i="3"/>
  <c r="G92" i="3"/>
  <c r="R91" i="3"/>
  <c r="Q91" i="3"/>
  <c r="O91" i="3"/>
  <c r="P91" i="3" s="1"/>
  <c r="I91" i="3"/>
  <c r="G91" i="3"/>
  <c r="R90" i="3"/>
  <c r="Q90" i="3"/>
  <c r="O90" i="3"/>
  <c r="P90" i="3" s="1"/>
  <c r="I90" i="3"/>
  <c r="G90" i="3"/>
  <c r="R89" i="3"/>
  <c r="Q89" i="3"/>
  <c r="O89" i="3"/>
  <c r="P89" i="3" s="1"/>
  <c r="I89" i="3"/>
  <c r="G89" i="3"/>
  <c r="R88" i="3"/>
  <c r="Q88" i="3"/>
  <c r="O88" i="3"/>
  <c r="P88" i="3" s="1"/>
  <c r="I88" i="3"/>
  <c r="G88" i="3"/>
  <c r="R87" i="3"/>
  <c r="Q87" i="3"/>
  <c r="O87" i="3"/>
  <c r="P87" i="3" s="1"/>
  <c r="I87" i="3"/>
  <c r="G87" i="3"/>
  <c r="R86" i="3"/>
  <c r="Q86" i="3"/>
  <c r="O86" i="3"/>
  <c r="P86" i="3" s="1"/>
  <c r="I86" i="3"/>
  <c r="G86" i="3"/>
  <c r="R85" i="3"/>
  <c r="Q85" i="3"/>
  <c r="O85" i="3"/>
  <c r="P85" i="3" s="1"/>
  <c r="I85" i="3"/>
  <c r="G85" i="3"/>
  <c r="R84" i="3"/>
  <c r="Q84" i="3"/>
  <c r="O84" i="3"/>
  <c r="P84" i="3" s="1"/>
  <c r="I84" i="3"/>
  <c r="G84" i="3"/>
  <c r="R83" i="3"/>
  <c r="Q83" i="3"/>
  <c r="O83" i="3"/>
  <c r="P83" i="3" s="1"/>
  <c r="I83" i="3"/>
  <c r="G83" i="3"/>
  <c r="R82" i="3"/>
  <c r="Q82" i="3"/>
  <c r="O82" i="3"/>
  <c r="P82" i="3" s="1"/>
  <c r="I82" i="3"/>
  <c r="G82" i="3"/>
  <c r="R81" i="3"/>
  <c r="Q81" i="3"/>
  <c r="O81" i="3"/>
  <c r="P81" i="3" s="1"/>
  <c r="I81" i="3"/>
  <c r="G81" i="3"/>
  <c r="R80" i="3"/>
  <c r="Q80" i="3"/>
  <c r="O80" i="3"/>
  <c r="P80" i="3" s="1"/>
  <c r="I80" i="3"/>
  <c r="G80" i="3"/>
  <c r="R79" i="3"/>
  <c r="Q79" i="3"/>
  <c r="O79" i="3"/>
  <c r="P79" i="3" s="1"/>
  <c r="I79" i="3"/>
  <c r="G79" i="3"/>
  <c r="R78" i="3"/>
  <c r="Q78" i="3"/>
  <c r="O78" i="3"/>
  <c r="P78" i="3" s="1"/>
  <c r="I78" i="3"/>
  <c r="G78" i="3"/>
  <c r="R77" i="3"/>
  <c r="Q77" i="3"/>
  <c r="O77" i="3"/>
  <c r="P77" i="3" s="1"/>
  <c r="I77" i="3"/>
  <c r="G77" i="3"/>
  <c r="R76" i="3"/>
  <c r="Q76" i="3"/>
  <c r="O76" i="3"/>
  <c r="P76" i="3" s="1"/>
  <c r="I76" i="3"/>
  <c r="G76" i="3"/>
  <c r="R75" i="3"/>
  <c r="Q75" i="3"/>
  <c r="O75" i="3"/>
  <c r="P75" i="3" s="1"/>
  <c r="I75" i="3"/>
  <c r="G75" i="3"/>
  <c r="R74" i="3"/>
  <c r="Q74" i="3"/>
  <c r="O74" i="3"/>
  <c r="P74" i="3" s="1"/>
  <c r="I74" i="3"/>
  <c r="G74" i="3"/>
  <c r="R73" i="3"/>
  <c r="Q73" i="3"/>
  <c r="O73" i="3"/>
  <c r="P73" i="3" s="1"/>
  <c r="I73" i="3"/>
  <c r="G73" i="3"/>
  <c r="R72" i="3"/>
  <c r="Q72" i="3"/>
  <c r="O72" i="3"/>
  <c r="P72" i="3" s="1"/>
  <c r="I72" i="3"/>
  <c r="G72" i="3"/>
  <c r="R71" i="3"/>
  <c r="Q71" i="3"/>
  <c r="O71" i="3"/>
  <c r="P71" i="3" s="1"/>
  <c r="I71" i="3"/>
  <c r="G71" i="3"/>
  <c r="R70" i="3"/>
  <c r="Q70" i="3"/>
  <c r="O70" i="3"/>
  <c r="P70" i="3" s="1"/>
  <c r="I70" i="3"/>
  <c r="G70" i="3"/>
  <c r="R69" i="3"/>
  <c r="Q69" i="3"/>
  <c r="O69" i="3"/>
  <c r="P69" i="3" s="1"/>
  <c r="I69" i="3"/>
  <c r="G69" i="3"/>
  <c r="R68" i="3"/>
  <c r="Q68" i="3"/>
  <c r="O68" i="3"/>
  <c r="P68" i="3" s="1"/>
  <c r="I68" i="3"/>
  <c r="G68" i="3"/>
  <c r="R67" i="3"/>
  <c r="Q67" i="3"/>
  <c r="O67" i="3"/>
  <c r="P67" i="3" s="1"/>
  <c r="I67" i="3"/>
  <c r="G67" i="3"/>
  <c r="R66" i="3"/>
  <c r="Q66" i="3"/>
  <c r="O66" i="3"/>
  <c r="P66" i="3" s="1"/>
  <c r="I66" i="3"/>
  <c r="G66" i="3"/>
  <c r="R65" i="3"/>
  <c r="Q65" i="3"/>
  <c r="O65" i="3"/>
  <c r="P65" i="3" s="1"/>
  <c r="I65" i="3"/>
  <c r="G65" i="3"/>
  <c r="R64" i="3"/>
  <c r="Q64" i="3"/>
  <c r="O64" i="3"/>
  <c r="P64" i="3" s="1"/>
  <c r="I64" i="3"/>
  <c r="G64" i="3"/>
  <c r="R63" i="3"/>
  <c r="Q63" i="3"/>
  <c r="O63" i="3"/>
  <c r="P63" i="3" s="1"/>
  <c r="I63" i="3"/>
  <c r="G63" i="3"/>
  <c r="R62" i="3"/>
  <c r="Q62" i="3"/>
  <c r="O62" i="3"/>
  <c r="P62" i="3" s="1"/>
  <c r="I62" i="3"/>
  <c r="G62" i="3"/>
  <c r="R61" i="3"/>
  <c r="Q61" i="3"/>
  <c r="O61" i="3"/>
  <c r="P61" i="3" s="1"/>
  <c r="I61" i="3"/>
  <c r="G61" i="3"/>
  <c r="R60" i="3"/>
  <c r="Q60" i="3"/>
  <c r="O60" i="3"/>
  <c r="P60" i="3" s="1"/>
  <c r="I60" i="3"/>
  <c r="G60" i="3"/>
  <c r="R59" i="3"/>
  <c r="Q59" i="3"/>
  <c r="O59" i="3"/>
  <c r="P59" i="3" s="1"/>
  <c r="I59" i="3"/>
  <c r="G59" i="3"/>
  <c r="R58" i="3"/>
  <c r="Q58" i="3"/>
  <c r="O58" i="3"/>
  <c r="P58" i="3" s="1"/>
  <c r="I58" i="3"/>
  <c r="G58" i="3"/>
  <c r="R57" i="3"/>
  <c r="Q57" i="3"/>
  <c r="O57" i="3"/>
  <c r="P57" i="3" s="1"/>
  <c r="I57" i="3"/>
  <c r="G57" i="3"/>
  <c r="R56" i="3"/>
  <c r="Q56" i="3"/>
  <c r="O56" i="3"/>
  <c r="P56" i="3" s="1"/>
  <c r="I56" i="3"/>
  <c r="G56" i="3"/>
  <c r="R55" i="3"/>
  <c r="Q55" i="3"/>
  <c r="O55" i="3"/>
  <c r="P55" i="3" s="1"/>
  <c r="I55" i="3"/>
  <c r="G55" i="3"/>
  <c r="R54" i="3"/>
  <c r="Q54" i="3"/>
  <c r="O54" i="3"/>
  <c r="P54" i="3" s="1"/>
  <c r="I54" i="3"/>
  <c r="G54" i="3"/>
  <c r="R53" i="3"/>
  <c r="Q53" i="3"/>
  <c r="O53" i="3"/>
  <c r="P53" i="3" s="1"/>
  <c r="I53" i="3"/>
  <c r="G53" i="3"/>
  <c r="R52" i="3"/>
  <c r="Q52" i="3"/>
  <c r="O52" i="3"/>
  <c r="P52" i="3" s="1"/>
  <c r="I52" i="3"/>
  <c r="G52" i="3"/>
  <c r="R51" i="3"/>
  <c r="Q51" i="3"/>
  <c r="O51" i="3"/>
  <c r="P51" i="3" s="1"/>
  <c r="I51" i="3"/>
  <c r="G51" i="3"/>
  <c r="R50" i="3"/>
  <c r="Q50" i="3"/>
  <c r="O50" i="3"/>
  <c r="P50" i="3" s="1"/>
  <c r="I50" i="3"/>
  <c r="G50" i="3"/>
  <c r="R49" i="3"/>
  <c r="Q49" i="3"/>
  <c r="O49" i="3"/>
  <c r="P49" i="3" s="1"/>
  <c r="I49" i="3"/>
  <c r="G49" i="3"/>
  <c r="R48" i="3"/>
  <c r="Q48" i="3"/>
  <c r="O48" i="3"/>
  <c r="P48" i="3" s="1"/>
  <c r="I48" i="3"/>
  <c r="G48" i="3"/>
  <c r="R47" i="3"/>
  <c r="Q47" i="3"/>
  <c r="O47" i="3"/>
  <c r="P47" i="3" s="1"/>
  <c r="I47" i="3"/>
  <c r="G47" i="3"/>
  <c r="R46" i="3"/>
  <c r="Q46" i="3"/>
  <c r="O46" i="3"/>
  <c r="P46" i="3" s="1"/>
  <c r="I46" i="3"/>
  <c r="G46" i="3"/>
  <c r="R45" i="3"/>
  <c r="Q45" i="3"/>
  <c r="O45" i="3"/>
  <c r="P45" i="3" s="1"/>
  <c r="I45" i="3"/>
  <c r="G45" i="3"/>
  <c r="R44" i="3"/>
  <c r="Q44" i="3"/>
  <c r="O44" i="3"/>
  <c r="P44" i="3" s="1"/>
  <c r="I44" i="3"/>
  <c r="G44" i="3"/>
  <c r="R43" i="3"/>
  <c r="Q43" i="3"/>
  <c r="O43" i="3"/>
  <c r="P43" i="3" s="1"/>
  <c r="I43" i="3"/>
  <c r="G43" i="3"/>
  <c r="R42" i="3"/>
  <c r="Q42" i="3"/>
  <c r="O42" i="3"/>
  <c r="P42" i="3" s="1"/>
  <c r="I42" i="3"/>
  <c r="G42" i="3"/>
  <c r="R41" i="3"/>
  <c r="Q41" i="3"/>
  <c r="O41" i="3"/>
  <c r="P41" i="3" s="1"/>
  <c r="I41" i="3"/>
  <c r="G41" i="3"/>
  <c r="R40" i="3"/>
  <c r="Q40" i="3"/>
  <c r="O40" i="3"/>
  <c r="P40" i="3" s="1"/>
  <c r="I40" i="3"/>
  <c r="G40" i="3"/>
  <c r="R39" i="3"/>
  <c r="Q39" i="3"/>
  <c r="O39" i="3"/>
  <c r="P39" i="3" s="1"/>
  <c r="I39" i="3"/>
  <c r="G39" i="3"/>
  <c r="R38" i="3"/>
  <c r="Q38" i="3"/>
  <c r="O38" i="3"/>
  <c r="P38" i="3" s="1"/>
  <c r="I38" i="3"/>
  <c r="G38" i="3"/>
  <c r="R37" i="3"/>
  <c r="Q37" i="3"/>
  <c r="O37" i="3"/>
  <c r="P37" i="3" s="1"/>
  <c r="I37" i="3"/>
  <c r="G37" i="3"/>
  <c r="R36" i="3"/>
  <c r="Q36" i="3"/>
  <c r="O36" i="3"/>
  <c r="P36" i="3" s="1"/>
  <c r="I36" i="3"/>
  <c r="G36" i="3"/>
  <c r="R35" i="3"/>
  <c r="Q35" i="3"/>
  <c r="O35" i="3"/>
  <c r="P35" i="3" s="1"/>
  <c r="I35" i="3"/>
  <c r="G35" i="3"/>
  <c r="R34" i="3"/>
  <c r="Q34" i="3"/>
  <c r="O34" i="3"/>
  <c r="P34" i="3" s="1"/>
  <c r="I34" i="3"/>
  <c r="G34" i="3"/>
  <c r="R33" i="3"/>
  <c r="Q33" i="3"/>
  <c r="O33" i="3"/>
  <c r="P33" i="3" s="1"/>
  <c r="I33" i="3"/>
  <c r="G33" i="3"/>
  <c r="R32" i="3"/>
  <c r="Q32" i="3"/>
  <c r="O32" i="3"/>
  <c r="P32" i="3" s="1"/>
  <c r="I32" i="3"/>
  <c r="G32" i="3"/>
  <c r="R31" i="3"/>
  <c r="Q31" i="3"/>
  <c r="O31" i="3"/>
  <c r="P31" i="3" s="1"/>
  <c r="I31" i="3"/>
  <c r="G31" i="3"/>
  <c r="R30" i="3"/>
  <c r="Q30" i="3"/>
  <c r="O30" i="3"/>
  <c r="P30" i="3" s="1"/>
  <c r="I30" i="3"/>
  <c r="G30" i="3"/>
  <c r="R29" i="3"/>
  <c r="Q29" i="3"/>
  <c r="O29" i="3"/>
  <c r="P29" i="3" s="1"/>
  <c r="I29" i="3"/>
  <c r="G29" i="3"/>
  <c r="R28" i="3"/>
  <c r="Q28" i="3"/>
  <c r="O28" i="3"/>
  <c r="P28" i="3" s="1"/>
  <c r="I28" i="3"/>
  <c r="G28" i="3"/>
  <c r="R27" i="3"/>
  <c r="Q27" i="3"/>
  <c r="O27" i="3"/>
  <c r="P27" i="3" s="1"/>
  <c r="I27" i="3"/>
  <c r="G27" i="3"/>
  <c r="R26" i="3"/>
  <c r="Q26" i="3"/>
  <c r="O26" i="3"/>
  <c r="P26" i="3" s="1"/>
  <c r="I26" i="3"/>
  <c r="G26" i="3"/>
  <c r="R25" i="3"/>
  <c r="Q25" i="3"/>
  <c r="O25" i="3"/>
  <c r="P25" i="3" s="1"/>
  <c r="I25" i="3"/>
  <c r="G25" i="3"/>
  <c r="R24" i="3"/>
  <c r="Q24" i="3"/>
  <c r="O24" i="3"/>
  <c r="P24" i="3" s="1"/>
  <c r="I24" i="3"/>
  <c r="G24" i="3"/>
  <c r="R23" i="3"/>
  <c r="Q23" i="3"/>
  <c r="O23" i="3"/>
  <c r="P23" i="3" s="1"/>
  <c r="I23" i="3"/>
  <c r="G23" i="3"/>
  <c r="R22" i="3"/>
  <c r="Q22" i="3"/>
  <c r="O22" i="3"/>
  <c r="P22" i="3" s="1"/>
  <c r="I22" i="3"/>
  <c r="G22" i="3"/>
  <c r="R21" i="3"/>
  <c r="Q21" i="3"/>
  <c r="O21" i="3"/>
  <c r="P21" i="3" s="1"/>
  <c r="I21" i="3"/>
  <c r="G21" i="3"/>
  <c r="R20" i="3"/>
  <c r="Q20" i="3"/>
  <c r="O20" i="3"/>
  <c r="P20" i="3" s="1"/>
  <c r="I20" i="3"/>
  <c r="G20" i="3"/>
  <c r="R19" i="3"/>
  <c r="Q19" i="3"/>
  <c r="O19" i="3"/>
  <c r="P19" i="3" s="1"/>
  <c r="I19" i="3"/>
  <c r="G19" i="3"/>
  <c r="R18" i="3"/>
  <c r="Q18" i="3"/>
  <c r="O18" i="3"/>
  <c r="P18" i="3" s="1"/>
  <c r="I18" i="3"/>
  <c r="G18" i="3"/>
  <c r="R17" i="3"/>
  <c r="Q17" i="3"/>
  <c r="O17" i="3"/>
  <c r="P17" i="3" s="1"/>
  <c r="I17" i="3"/>
  <c r="G17" i="3"/>
  <c r="R16" i="3"/>
  <c r="Q16" i="3"/>
  <c r="O16" i="3"/>
  <c r="P16" i="3" s="1"/>
  <c r="I16" i="3"/>
  <c r="G16" i="3"/>
  <c r="R15" i="3"/>
  <c r="Q15" i="3"/>
  <c r="O15" i="3"/>
  <c r="P15" i="3" s="1"/>
  <c r="I15" i="3"/>
  <c r="G15" i="3"/>
  <c r="R14" i="3"/>
  <c r="Q14" i="3"/>
  <c r="O14" i="3"/>
  <c r="P14" i="3" s="1"/>
  <c r="I14" i="3"/>
  <c r="G14" i="3"/>
  <c r="R13" i="3"/>
  <c r="Q13" i="3"/>
  <c r="O13" i="3"/>
  <c r="P13" i="3" s="1"/>
  <c r="I13" i="3"/>
  <c r="G13" i="3"/>
  <c r="R12" i="3"/>
  <c r="Q12" i="3"/>
  <c r="O12" i="3"/>
  <c r="P12" i="3" s="1"/>
  <c r="I12" i="3"/>
  <c r="G12" i="3"/>
  <c r="R11" i="3"/>
  <c r="Q11" i="3"/>
  <c r="O11" i="3"/>
  <c r="P11" i="3" s="1"/>
  <c r="I11" i="3"/>
  <c r="G11" i="3"/>
  <c r="R10" i="3"/>
  <c r="Q10" i="3"/>
  <c r="O10" i="3"/>
  <c r="P10" i="3" s="1"/>
  <c r="I10" i="3"/>
  <c r="G10" i="3"/>
  <c r="R9" i="3"/>
  <c r="Q9" i="3"/>
  <c r="O9" i="3"/>
  <c r="P9" i="3" s="1"/>
  <c r="I9" i="3"/>
  <c r="G9" i="3"/>
  <c r="R8" i="3"/>
  <c r="Q8" i="3"/>
  <c r="O8" i="3"/>
  <c r="P8" i="3" s="1"/>
  <c r="I8" i="3"/>
  <c r="G8" i="3"/>
  <c r="R7" i="3"/>
  <c r="Q7" i="3"/>
  <c r="O7" i="3"/>
  <c r="P7" i="3" s="1"/>
  <c r="I7" i="3"/>
  <c r="G7" i="3"/>
  <c r="R6" i="3"/>
  <c r="Q6" i="3"/>
  <c r="O6" i="3"/>
  <c r="P6" i="3" s="1"/>
  <c r="I6" i="3"/>
  <c r="G6" i="3"/>
  <c r="R5" i="3"/>
  <c r="Q5" i="3"/>
  <c r="O5" i="3"/>
  <c r="P5" i="3" s="1"/>
  <c r="I5" i="3"/>
  <c r="G5" i="3"/>
  <c r="R4" i="3"/>
  <c r="Q4" i="3"/>
  <c r="O4" i="3"/>
  <c r="P4" i="3" s="1"/>
  <c r="I4" i="3"/>
  <c r="G4" i="3"/>
  <c r="R3" i="3"/>
  <c r="Q3" i="3"/>
  <c r="O3" i="3"/>
  <c r="P3" i="3" s="1"/>
  <c r="I3" i="3"/>
  <c r="G3" i="3"/>
  <c r="R2" i="3"/>
  <c r="Q2" i="3"/>
  <c r="P2" i="3"/>
  <c r="O2" i="3"/>
  <c r="I2" i="3"/>
  <c r="G2" i="3"/>
</calcChain>
</file>

<file path=xl/sharedStrings.xml><?xml version="1.0" encoding="utf-8"?>
<sst xmlns="http://schemas.openxmlformats.org/spreadsheetml/2006/main" count="555" uniqueCount="116">
  <si>
    <t>Germany</t>
  </si>
  <si>
    <t>Italy</t>
  </si>
  <si>
    <t>Spain</t>
  </si>
  <si>
    <t>UK</t>
  </si>
  <si>
    <t>France</t>
  </si>
  <si>
    <t>Switzerland</t>
  </si>
  <si>
    <t>Salesman</t>
  </si>
  <si>
    <t>Product</t>
  </si>
  <si>
    <t>Sale Date</t>
  </si>
  <si>
    <t>Region</t>
  </si>
  <si>
    <t>Hours</t>
  </si>
  <si>
    <t>Sales</t>
  </si>
  <si>
    <t>Sales Per Hour</t>
  </si>
  <si>
    <t>Revenue</t>
  </si>
  <si>
    <t>Revenue Per Hour</t>
  </si>
  <si>
    <t>Calls</t>
  </si>
  <si>
    <t>Excellent</t>
  </si>
  <si>
    <t>Good</t>
  </si>
  <si>
    <t>Fair</t>
  </si>
  <si>
    <t>Poor</t>
  </si>
  <si>
    <t>Total</t>
  </si>
  <si>
    <t>Client Satisfaction</t>
  </si>
  <si>
    <t>Positive</t>
  </si>
  <si>
    <t>Negative</t>
  </si>
  <si>
    <t>Joe</t>
  </si>
  <si>
    <t>Product 1</t>
  </si>
  <si>
    <t>Product 2</t>
  </si>
  <si>
    <t>Marco</t>
  </si>
  <si>
    <t>Noah</t>
  </si>
  <si>
    <t>Kelly</t>
  </si>
  <si>
    <t>John</t>
  </si>
  <si>
    <t>Ken</t>
  </si>
  <si>
    <t>Una</t>
  </si>
  <si>
    <t>Gordon</t>
  </si>
  <si>
    <t>Mich</t>
  </si>
  <si>
    <t>Patrick</t>
  </si>
  <si>
    <t>Sum of Revenue</t>
  </si>
  <si>
    <t>Sum of Sales</t>
  </si>
  <si>
    <t>Average of Hours</t>
  </si>
  <si>
    <t>Row Labels</t>
  </si>
  <si>
    <t>Grand Total</t>
  </si>
  <si>
    <t>01-Aug</t>
  </si>
  <si>
    <t>02-Aug</t>
  </si>
  <si>
    <t>03-Aug</t>
  </si>
  <si>
    <t>04-Aug</t>
  </si>
  <si>
    <t>05-Aug</t>
  </si>
  <si>
    <t>06-Aug</t>
  </si>
  <si>
    <t>07-Aug</t>
  </si>
  <si>
    <t>08-Aug</t>
  </si>
  <si>
    <t>09-Aug</t>
  </si>
  <si>
    <t>10-Aug</t>
  </si>
  <si>
    <t>11-Aug</t>
  </si>
  <si>
    <t>12-Aug</t>
  </si>
  <si>
    <t>13-Aug</t>
  </si>
  <si>
    <t>14-Aug</t>
  </si>
  <si>
    <t>15-Aug</t>
  </si>
  <si>
    <t>16-Aug</t>
  </si>
  <si>
    <t>17-Aug</t>
  </si>
  <si>
    <t>21-Aug</t>
  </si>
  <si>
    <t>22-Aug</t>
  </si>
  <si>
    <t>23-Aug</t>
  </si>
  <si>
    <t>24-Aug</t>
  </si>
  <si>
    <t>25-Aug</t>
  </si>
  <si>
    <t>27-Aug</t>
  </si>
  <si>
    <t>28-Aug</t>
  </si>
  <si>
    <t>29-Aug</t>
  </si>
  <si>
    <t>30-Aug</t>
  </si>
  <si>
    <t>02-Sept</t>
  </si>
  <si>
    <t>04-Sept</t>
  </si>
  <si>
    <t>05-Sept</t>
  </si>
  <si>
    <t>06-Sept</t>
  </si>
  <si>
    <t>08-Sept</t>
  </si>
  <si>
    <t>10-Sept</t>
  </si>
  <si>
    <t>11-Sept</t>
  </si>
  <si>
    <t>12-Sept</t>
  </si>
  <si>
    <t>14-Sept</t>
  </si>
  <si>
    <t>15-Sept</t>
  </si>
  <si>
    <t>16-Sept</t>
  </si>
  <si>
    <t>19-Sept</t>
  </si>
  <si>
    <t>20-Sept</t>
  </si>
  <si>
    <t>21-Sept</t>
  </si>
  <si>
    <t>22-Sept</t>
  </si>
  <si>
    <t>23-Sept</t>
  </si>
  <si>
    <t>24-Sept</t>
  </si>
  <si>
    <t>25-Sept</t>
  </si>
  <si>
    <t>26-Sept</t>
  </si>
  <si>
    <t>27-Sept</t>
  </si>
  <si>
    <t>28-Sept</t>
  </si>
  <si>
    <t>29-Sept</t>
  </si>
  <si>
    <t>30-Sept</t>
  </si>
  <si>
    <t>02-Oct</t>
  </si>
  <si>
    <t>03-Oct</t>
  </si>
  <si>
    <t>04-Oct</t>
  </si>
  <si>
    <t>05-Oct</t>
  </si>
  <si>
    <t>06-Oct</t>
  </si>
  <si>
    <t>07-Oct</t>
  </si>
  <si>
    <t>08-Oct</t>
  </si>
  <si>
    <t>09-Oct</t>
  </si>
  <si>
    <t>10-Oct</t>
  </si>
  <si>
    <t>11-Oct</t>
  </si>
  <si>
    <t>12-Oct</t>
  </si>
  <si>
    <t>14-Oct</t>
  </si>
  <si>
    <t>16-Oct</t>
  </si>
  <si>
    <t>18-Oct</t>
  </si>
  <si>
    <t>23-Oct</t>
  </si>
  <si>
    <t>24-Oct</t>
  </si>
  <si>
    <t>26-Oct</t>
  </si>
  <si>
    <t>29-Oct</t>
  </si>
  <si>
    <t>30-Oct</t>
  </si>
  <si>
    <t>31-Oct</t>
  </si>
  <si>
    <t>04-Nov</t>
  </si>
  <si>
    <t>06-Nov</t>
  </si>
  <si>
    <t>09-Nov</t>
  </si>
  <si>
    <t>Call</t>
  </si>
  <si>
    <t>Sale</t>
  </si>
  <si>
    <t>Average of Client Satisfaction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</si>
</sst>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dd/mm/yyyy;@"/>
    <numFmt numFmtId="165" formatCode="0.0"/>
    <numFmt numFmtId="166" formatCode="[$$-C09]#,##0"/>
    <numFmt numFmtId="167" formatCode="[&gt;=1000000]\$0.0,,&quot;M&quot;;[&gt;=1000]\$0.0,&quot;K&quot;;0"/>
  </numFmts>
  <fonts count="7" x14ac:knownFonts="1">
    <font>
      <sz val="11"/>
      <color theme="1"/>
      <name val="Calibri"/>
      <family val="2"/>
      <scheme val="minor"/>
    </font>
    <font>
      <sz val="11"/>
      <color indexed="8"/>
      <name val="Calibri"/>
      <family val="2"/>
    </font>
    <font>
      <sz val="10"/>
      <color theme="1"/>
      <name val="Arial"/>
      <family val="2"/>
    </font>
    <font>
      <sz val="10"/>
      <color indexed="8"/>
      <name val="Verdana"/>
      <family val="2"/>
    </font>
    <font>
      <b/>
      <sz val="10"/>
      <color theme="0"/>
      <name val="Arial"/>
      <family val="2"/>
    </font>
    <font>
      <sz val="10"/>
      <color indexed="8"/>
      <name val="Arial"/>
      <family val="2"/>
    </font>
    <font>
      <u/>
      <sz val="11"/>
      <color theme="10"/>
      <name val="Calibri"/>
      <family val="2"/>
      <scheme val="minor"/>
    </font>
  </fonts>
  <fills count="5">
    <fill>
      <patternFill patternType="none"/>
    </fill>
    <fill>
      <patternFill patternType="gray125"/>
    </fill>
    <fill>
      <patternFill patternType="solid">
        <fgColor rgb="FF710096"/>
        <bgColor indexed="64"/>
      </patternFill>
    </fill>
    <fill>
      <patternFill patternType="solid">
        <fgColor theme="0" tint="-4.9989318521683403E-2"/>
        <bgColor indexed="64"/>
      </patternFill>
    </fill>
    <fill>
      <patternFill patternType="solid">
        <fgColor theme="2" tint="-0.74999237037263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1" fillId="0" borderId="0" applyFill="0" applyProtection="0"/>
    <xf numFmtId="0" fontId="2" fillId="0" borderId="0"/>
    <xf numFmtId="43" fontId="2" fillId="0" borderId="0" applyFont="0" applyFill="0" applyBorder="0" applyAlignment="0" applyProtection="0"/>
    <xf numFmtId="0" fontId="6" fillId="0" borderId="0" applyNumberFormat="0" applyFill="0" applyBorder="0" applyAlignment="0" applyProtection="0"/>
  </cellStyleXfs>
  <cellXfs count="18">
    <xf numFmtId="0" fontId="0" fillId="0" borderId="0" xfId="0"/>
    <xf numFmtId="0" fontId="3" fillId="0" borderId="0" xfId="1" applyFont="1" applyFill="1" applyProtection="1"/>
    <xf numFmtId="0" fontId="4" fillId="2" borderId="1" xfId="1" applyFont="1" applyFill="1" applyBorder="1" applyAlignment="1" applyProtection="1">
      <alignment horizontal="center" vertical="center"/>
    </xf>
    <xf numFmtId="0" fontId="5" fillId="3" borderId="1" xfId="1" applyFont="1" applyFill="1" applyBorder="1" applyAlignment="1" applyProtection="1">
      <alignment horizontal="center"/>
    </xf>
    <xf numFmtId="164" fontId="5" fillId="3" borderId="1" xfId="1" applyNumberFormat="1" applyFont="1" applyFill="1" applyBorder="1" applyAlignment="1" applyProtection="1">
      <alignment horizontal="center"/>
    </xf>
    <xf numFmtId="0" fontId="5" fillId="3" borderId="1" xfId="1" applyFont="1" applyFill="1" applyBorder="1" applyAlignment="1">
      <alignment horizontal="center"/>
    </xf>
    <xf numFmtId="165" fontId="5" fillId="3" borderId="1" xfId="1" applyNumberFormat="1" applyFont="1" applyFill="1" applyBorder="1" applyAlignment="1" applyProtection="1">
      <alignment horizontal="center"/>
    </xf>
    <xf numFmtId="2" fontId="5" fillId="3" borderId="1" xfId="1" applyNumberFormat="1" applyFont="1" applyFill="1" applyBorder="1" applyAlignment="1" applyProtection="1">
      <alignment horizontal="center"/>
    </xf>
    <xf numFmtId="166" fontId="5" fillId="3" borderId="1" xfId="1" applyNumberFormat="1" applyFont="1" applyFill="1" applyBorder="1" applyAlignment="1" applyProtection="1">
      <alignment horizontal="center"/>
    </xf>
    <xf numFmtId="1" fontId="5" fillId="3" borderId="1" xfId="1" applyNumberFormat="1" applyFont="1" applyFill="1" applyBorder="1" applyAlignment="1" applyProtection="1">
      <alignment horizontal="center"/>
    </xf>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2" fontId="0" fillId="0" borderId="0" xfId="0" applyNumberFormat="1"/>
    <xf numFmtId="0" fontId="0" fillId="4" borderId="0" xfId="0" applyFill="1"/>
    <xf numFmtId="167" fontId="0" fillId="0" borderId="0" xfId="0" applyNumberFormat="1"/>
    <xf numFmtId="0" fontId="0" fillId="0" borderId="0" xfId="0" applyNumberFormat="1"/>
  </cellXfs>
  <cellStyles count="5">
    <cellStyle name="Comma 2" xfId="3" xr:uid="{F358352F-049C-43A4-8AAD-E750D73A54E8}"/>
    <cellStyle name="Hyperlink 2" xfId="4" xr:uid="{F7396FD6-94A1-4B31-9600-E0268E69ECDF}"/>
    <cellStyle name="Normal" xfId="0" builtinId="0"/>
    <cellStyle name="Normal 2" xfId="1" xr:uid="{A0FCEDB5-42A6-4928-835E-A6151372B719}"/>
    <cellStyle name="Normal 3" xfId="2" xr:uid="{4BEA912E-A0AB-459D-A647-9305468B6E23}"/>
  </cellStyles>
  <dxfs count="5">
    <dxf>
      <numFmt numFmtId="167" formatCode="[&gt;=1000000]\$0.0,,&quot;M&quot;;[&gt;=1000]\$0.0,&quot;K&quot;;0"/>
    </dxf>
    <dxf>
      <numFmt numFmtId="167" formatCode="[&gt;=1000000]\$0.0,,&quot;M&quot;;[&gt;=1000]\$0.0,&quot;K&quot;;0"/>
    </dxf>
    <dxf>
      <numFmt numFmtId="167" formatCode="[&gt;=1000000]\$0.0,,&quot;M&quot;;[&gt;=1000]\$0.0,&quot;K&quot;;0"/>
    </dxf>
    <dxf>
      <numFmt numFmtId="167" formatCode="[&gt;=1000000]\$0.0,,&quot;M&quot;;[&gt;=1000]\$0.0,&quot;K&quot;;0"/>
    </dxf>
    <dxf>
      <font>
        <b/>
        <i val="0"/>
        <strike val="0"/>
        <sz val="12"/>
        <color theme="3" tint="0.39994506668294322"/>
      </font>
      <fill>
        <patternFill patternType="solid">
          <bgColor rgb="FF171C31"/>
        </patternFill>
      </fill>
      <border diagonalUp="0" diagonalDown="0">
        <left/>
        <right/>
        <top/>
        <bottom/>
        <vertical/>
        <horizontal/>
      </border>
    </dxf>
  </dxfs>
  <tableStyles count="1" defaultTableStyle="TableStyleMedium2" defaultPivotStyle="PivotStyleLight16">
    <tableStyle name="Slicer Style 1" pivot="0" table="0" count="4" xr9:uid="{111A63B4-6028-4C4A-989A-9A8B2FB5DEDE}">
      <tableStyleElement type="wholeTable" dxfId="4"/>
    </tableStyle>
  </tableStyles>
  <colors>
    <mruColors>
      <color rgb="FFBD6FE6"/>
      <color rgb="FF00FFEF"/>
      <color rgb="FF15476A"/>
      <color rgb="FF7030A0"/>
      <color rgb="FF616BD6"/>
      <color rgb="FF488AD9"/>
      <color rgb="FF0ADAE0"/>
      <color rgb="FF0090FE"/>
      <color rgb="FF003FFC"/>
      <color rgb="FF0290FE"/>
    </mruColors>
  </colors>
  <extLst>
    <ext xmlns:x14="http://schemas.microsoft.com/office/spreadsheetml/2009/9/main" uri="{46F421CA-312F-682f-3DD2-61675219B42D}">
      <x14:dxfs count="3">
        <dxf>
          <font>
            <b/>
            <i val="0"/>
            <sz val="12"/>
            <color theme="0"/>
          </font>
          <fill>
            <patternFill>
              <bgColor rgb="FF6567D8"/>
            </patternFill>
          </fill>
        </dxf>
        <dxf>
          <font>
            <b/>
            <i val="0"/>
            <sz val="12"/>
            <color theme="0"/>
          </font>
          <fill>
            <patternFill>
              <bgColor rgb="FF6567D8"/>
            </patternFill>
          </fill>
        </dxf>
        <dxf>
          <font>
            <b/>
            <i val="0"/>
            <sz val="12"/>
            <color theme="0"/>
          </font>
          <fill>
            <patternFill>
              <bgColor rgb="FF6567D8"/>
            </patternFill>
          </fill>
        </dxf>
      </x14:dxfs>
    </ext>
    <ext xmlns:x14="http://schemas.microsoft.com/office/spreadsheetml/2009/9/main" uri="{EB79DEF2-80B8-43e5-95BD-54CBDDF9020C}">
      <x14:slicerStyles defaultSlicerStyle="Slicer Style 1">
        <x14:slicerStyle name="Slicer Style 1">
          <x14:slicerStyleElements>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[SwiftCartHub_data.xlsx]Pivot Tables!PivotTable5</c:name>
    <c:fmtId val="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43F3EF">
                <a:alpha val="8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6E5BA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Tables'!$B$6</c:f>
              <c:strCache>
                <c:ptCount val="1"/>
                <c:pt idx="0">
                  <c:v>Call</c:v>
                </c:pt>
              </c:strCache>
            </c:strRef>
          </c:tx>
          <c:spPr>
            <a:ln w="28575" cap="rnd">
              <a:solidFill>
                <a:srgbClr val="43F3EF">
                  <a:alpha val="80000"/>
                </a:srgbClr>
              </a:solidFill>
              <a:round/>
            </a:ln>
            <a:effectLst/>
          </c:spPr>
          <c:marker>
            <c:symbol val="none"/>
          </c:marker>
          <c:cat>
            <c:strRef>
              <c:f>'Pivot Tables'!$A$7:$A$79</c:f>
              <c:strCache>
                <c:ptCount val="72"/>
                <c:pt idx="0">
                  <c:v>01-Aug</c:v>
                </c:pt>
                <c:pt idx="1">
                  <c:v>02-Aug</c:v>
                </c:pt>
                <c:pt idx="2">
                  <c:v>03-Aug</c:v>
                </c:pt>
                <c:pt idx="3">
                  <c:v>04-Aug</c:v>
                </c:pt>
                <c:pt idx="4">
                  <c:v>05-Aug</c:v>
                </c:pt>
                <c:pt idx="5">
                  <c:v>06-Aug</c:v>
                </c:pt>
                <c:pt idx="6">
                  <c:v>07-Aug</c:v>
                </c:pt>
                <c:pt idx="7">
                  <c:v>08-Aug</c:v>
                </c:pt>
                <c:pt idx="8">
                  <c:v>09-Aug</c:v>
                </c:pt>
                <c:pt idx="9">
                  <c:v>10-Aug</c:v>
                </c:pt>
                <c:pt idx="10">
                  <c:v>11-Aug</c:v>
                </c:pt>
                <c:pt idx="11">
                  <c:v>12-Aug</c:v>
                </c:pt>
                <c:pt idx="12">
                  <c:v>13-Aug</c:v>
                </c:pt>
                <c:pt idx="13">
                  <c:v>14-Aug</c:v>
                </c:pt>
                <c:pt idx="14">
                  <c:v>15-Aug</c:v>
                </c:pt>
                <c:pt idx="15">
                  <c:v>16-Aug</c:v>
                </c:pt>
                <c:pt idx="16">
                  <c:v>17-Aug</c:v>
                </c:pt>
                <c:pt idx="17">
                  <c:v>21-Aug</c:v>
                </c:pt>
                <c:pt idx="18">
                  <c:v>22-Aug</c:v>
                </c:pt>
                <c:pt idx="19">
                  <c:v>23-Aug</c:v>
                </c:pt>
                <c:pt idx="20">
                  <c:v>24-Aug</c:v>
                </c:pt>
                <c:pt idx="21">
                  <c:v>25-Aug</c:v>
                </c:pt>
                <c:pt idx="22">
                  <c:v>27-Aug</c:v>
                </c:pt>
                <c:pt idx="23">
                  <c:v>28-Aug</c:v>
                </c:pt>
                <c:pt idx="24">
                  <c:v>29-Aug</c:v>
                </c:pt>
                <c:pt idx="25">
                  <c:v>30-Aug</c:v>
                </c:pt>
                <c:pt idx="26">
                  <c:v>02-Sept</c:v>
                </c:pt>
                <c:pt idx="27">
                  <c:v>04-Sept</c:v>
                </c:pt>
                <c:pt idx="28">
                  <c:v>05-Sept</c:v>
                </c:pt>
                <c:pt idx="29">
                  <c:v>06-Sept</c:v>
                </c:pt>
                <c:pt idx="30">
                  <c:v>08-Sept</c:v>
                </c:pt>
                <c:pt idx="31">
                  <c:v>10-Sept</c:v>
                </c:pt>
                <c:pt idx="32">
                  <c:v>11-Sept</c:v>
                </c:pt>
                <c:pt idx="33">
                  <c:v>12-Sept</c:v>
                </c:pt>
                <c:pt idx="34">
                  <c:v>14-Sept</c:v>
                </c:pt>
                <c:pt idx="35">
                  <c:v>15-Sept</c:v>
                </c:pt>
                <c:pt idx="36">
                  <c:v>16-Sept</c:v>
                </c:pt>
                <c:pt idx="37">
                  <c:v>19-Sept</c:v>
                </c:pt>
                <c:pt idx="38">
                  <c:v>20-Sept</c:v>
                </c:pt>
                <c:pt idx="39">
                  <c:v>21-Sept</c:v>
                </c:pt>
                <c:pt idx="40">
                  <c:v>22-Sept</c:v>
                </c:pt>
                <c:pt idx="41">
                  <c:v>23-Sept</c:v>
                </c:pt>
                <c:pt idx="42">
                  <c:v>24-Sept</c:v>
                </c:pt>
                <c:pt idx="43">
                  <c:v>25-Sept</c:v>
                </c:pt>
                <c:pt idx="44">
                  <c:v>26-Sept</c:v>
                </c:pt>
                <c:pt idx="45">
                  <c:v>27-Sept</c:v>
                </c:pt>
                <c:pt idx="46">
                  <c:v>28-Sept</c:v>
                </c:pt>
                <c:pt idx="47">
                  <c:v>29-Sept</c:v>
                </c:pt>
                <c:pt idx="48">
                  <c:v>30-Sept</c:v>
                </c:pt>
                <c:pt idx="49">
                  <c:v>02-Oct</c:v>
                </c:pt>
                <c:pt idx="50">
                  <c:v>03-Oct</c:v>
                </c:pt>
                <c:pt idx="51">
                  <c:v>04-Oct</c:v>
                </c:pt>
                <c:pt idx="52">
                  <c:v>05-Oct</c:v>
                </c:pt>
                <c:pt idx="53">
                  <c:v>06-Oct</c:v>
                </c:pt>
                <c:pt idx="54">
                  <c:v>07-Oct</c:v>
                </c:pt>
                <c:pt idx="55">
                  <c:v>08-Oct</c:v>
                </c:pt>
                <c:pt idx="56">
                  <c:v>09-Oct</c:v>
                </c:pt>
                <c:pt idx="57">
                  <c:v>10-Oct</c:v>
                </c:pt>
                <c:pt idx="58">
                  <c:v>11-Oct</c:v>
                </c:pt>
                <c:pt idx="59">
                  <c:v>12-Oct</c:v>
                </c:pt>
                <c:pt idx="60">
                  <c:v>14-Oct</c:v>
                </c:pt>
                <c:pt idx="61">
                  <c:v>16-Oct</c:v>
                </c:pt>
                <c:pt idx="62">
                  <c:v>18-Oct</c:v>
                </c:pt>
                <c:pt idx="63">
                  <c:v>23-Oct</c:v>
                </c:pt>
                <c:pt idx="64">
                  <c:v>24-Oct</c:v>
                </c:pt>
                <c:pt idx="65">
                  <c:v>26-Oct</c:v>
                </c:pt>
                <c:pt idx="66">
                  <c:v>29-Oct</c:v>
                </c:pt>
                <c:pt idx="67">
                  <c:v>30-Oct</c:v>
                </c:pt>
                <c:pt idx="68">
                  <c:v>31-Oct</c:v>
                </c:pt>
                <c:pt idx="69">
                  <c:v>04-Nov</c:v>
                </c:pt>
                <c:pt idx="70">
                  <c:v>06-Nov</c:v>
                </c:pt>
                <c:pt idx="71">
                  <c:v>09-Nov</c:v>
                </c:pt>
              </c:strCache>
            </c:strRef>
          </c:cat>
          <c:val>
            <c:numRef>
              <c:f>'Pivot Tables'!$B$7:$B$79</c:f>
              <c:numCache>
                <c:formatCode>0</c:formatCode>
                <c:ptCount val="72"/>
                <c:pt idx="0">
                  <c:v>358</c:v>
                </c:pt>
                <c:pt idx="1">
                  <c:v>723</c:v>
                </c:pt>
                <c:pt idx="2">
                  <c:v>833</c:v>
                </c:pt>
                <c:pt idx="3">
                  <c:v>250</c:v>
                </c:pt>
                <c:pt idx="4">
                  <c:v>1173</c:v>
                </c:pt>
                <c:pt idx="5">
                  <c:v>721</c:v>
                </c:pt>
                <c:pt idx="6">
                  <c:v>2030</c:v>
                </c:pt>
                <c:pt idx="7">
                  <c:v>1280</c:v>
                </c:pt>
                <c:pt idx="8">
                  <c:v>687</c:v>
                </c:pt>
                <c:pt idx="9">
                  <c:v>694</c:v>
                </c:pt>
                <c:pt idx="10">
                  <c:v>681</c:v>
                </c:pt>
                <c:pt idx="11">
                  <c:v>380</c:v>
                </c:pt>
                <c:pt idx="12">
                  <c:v>715</c:v>
                </c:pt>
                <c:pt idx="13">
                  <c:v>348</c:v>
                </c:pt>
                <c:pt idx="14">
                  <c:v>381</c:v>
                </c:pt>
                <c:pt idx="15">
                  <c:v>335</c:v>
                </c:pt>
                <c:pt idx="16">
                  <c:v>327</c:v>
                </c:pt>
                <c:pt idx="17">
                  <c:v>734</c:v>
                </c:pt>
                <c:pt idx="18">
                  <c:v>370</c:v>
                </c:pt>
                <c:pt idx="19">
                  <c:v>302</c:v>
                </c:pt>
                <c:pt idx="20">
                  <c:v>316</c:v>
                </c:pt>
                <c:pt idx="21">
                  <c:v>330</c:v>
                </c:pt>
                <c:pt idx="22">
                  <c:v>356</c:v>
                </c:pt>
                <c:pt idx="23">
                  <c:v>776</c:v>
                </c:pt>
                <c:pt idx="24">
                  <c:v>348</c:v>
                </c:pt>
                <c:pt idx="25">
                  <c:v>1427</c:v>
                </c:pt>
                <c:pt idx="26">
                  <c:v>353</c:v>
                </c:pt>
                <c:pt idx="27">
                  <c:v>324</c:v>
                </c:pt>
                <c:pt idx="28">
                  <c:v>1022</c:v>
                </c:pt>
                <c:pt idx="29">
                  <c:v>398</c:v>
                </c:pt>
                <c:pt idx="30">
                  <c:v>324</c:v>
                </c:pt>
                <c:pt idx="31">
                  <c:v>307</c:v>
                </c:pt>
                <c:pt idx="32">
                  <c:v>327</c:v>
                </c:pt>
                <c:pt idx="33">
                  <c:v>394</c:v>
                </c:pt>
                <c:pt idx="34">
                  <c:v>707</c:v>
                </c:pt>
                <c:pt idx="35">
                  <c:v>377</c:v>
                </c:pt>
                <c:pt idx="36">
                  <c:v>718</c:v>
                </c:pt>
                <c:pt idx="37">
                  <c:v>338</c:v>
                </c:pt>
                <c:pt idx="38">
                  <c:v>371</c:v>
                </c:pt>
                <c:pt idx="39">
                  <c:v>347</c:v>
                </c:pt>
                <c:pt idx="40">
                  <c:v>368</c:v>
                </c:pt>
                <c:pt idx="41">
                  <c:v>353</c:v>
                </c:pt>
                <c:pt idx="42">
                  <c:v>734</c:v>
                </c:pt>
                <c:pt idx="43">
                  <c:v>1368</c:v>
                </c:pt>
                <c:pt idx="44">
                  <c:v>723</c:v>
                </c:pt>
                <c:pt idx="45">
                  <c:v>307</c:v>
                </c:pt>
                <c:pt idx="46">
                  <c:v>1105</c:v>
                </c:pt>
                <c:pt idx="47">
                  <c:v>648</c:v>
                </c:pt>
                <c:pt idx="48">
                  <c:v>339</c:v>
                </c:pt>
                <c:pt idx="49">
                  <c:v>720</c:v>
                </c:pt>
                <c:pt idx="50">
                  <c:v>392</c:v>
                </c:pt>
                <c:pt idx="51">
                  <c:v>768</c:v>
                </c:pt>
                <c:pt idx="52">
                  <c:v>725</c:v>
                </c:pt>
                <c:pt idx="53">
                  <c:v>394</c:v>
                </c:pt>
                <c:pt idx="54">
                  <c:v>1001</c:v>
                </c:pt>
                <c:pt idx="55">
                  <c:v>725</c:v>
                </c:pt>
                <c:pt idx="56">
                  <c:v>744</c:v>
                </c:pt>
                <c:pt idx="57">
                  <c:v>661</c:v>
                </c:pt>
                <c:pt idx="58">
                  <c:v>323</c:v>
                </c:pt>
                <c:pt idx="59">
                  <c:v>400</c:v>
                </c:pt>
                <c:pt idx="60">
                  <c:v>724</c:v>
                </c:pt>
                <c:pt idx="61">
                  <c:v>1405</c:v>
                </c:pt>
                <c:pt idx="62">
                  <c:v>648</c:v>
                </c:pt>
                <c:pt idx="63">
                  <c:v>333</c:v>
                </c:pt>
                <c:pt idx="64">
                  <c:v>386</c:v>
                </c:pt>
                <c:pt idx="65">
                  <c:v>329</c:v>
                </c:pt>
                <c:pt idx="66">
                  <c:v>332</c:v>
                </c:pt>
                <c:pt idx="67">
                  <c:v>384</c:v>
                </c:pt>
                <c:pt idx="68">
                  <c:v>723</c:v>
                </c:pt>
                <c:pt idx="69">
                  <c:v>350</c:v>
                </c:pt>
                <c:pt idx="70">
                  <c:v>616</c:v>
                </c:pt>
                <c:pt idx="71">
                  <c:v>711</c:v>
                </c:pt>
              </c:numCache>
            </c:numRef>
          </c:val>
          <c:smooth val="1"/>
          <c:extLst>
            <c:ext xmlns:c16="http://schemas.microsoft.com/office/drawing/2014/chart" uri="{C3380CC4-5D6E-409C-BE32-E72D297353CC}">
              <c16:uniqueId val="{00000000-E381-4BD6-B233-434388DE7BC6}"/>
            </c:ext>
          </c:extLst>
        </c:ser>
        <c:dLbls>
          <c:showLegendKey val="0"/>
          <c:showVal val="0"/>
          <c:showCatName val="0"/>
          <c:showSerName val="0"/>
          <c:showPercent val="0"/>
          <c:showBubbleSize val="0"/>
        </c:dLbls>
        <c:marker val="1"/>
        <c:smooth val="0"/>
        <c:axId val="1170145439"/>
        <c:axId val="1170152383"/>
      </c:lineChart>
      <c:lineChart>
        <c:grouping val="standard"/>
        <c:varyColors val="0"/>
        <c:ser>
          <c:idx val="1"/>
          <c:order val="1"/>
          <c:tx>
            <c:strRef>
              <c:f>'Pivot Tables'!$C$6</c:f>
              <c:strCache>
                <c:ptCount val="1"/>
                <c:pt idx="0">
                  <c:v>Sale</c:v>
                </c:pt>
              </c:strCache>
            </c:strRef>
          </c:tx>
          <c:spPr>
            <a:ln w="28575" cap="rnd">
              <a:solidFill>
                <a:srgbClr val="6E5BA5"/>
              </a:solidFill>
              <a:round/>
            </a:ln>
            <a:effectLst/>
          </c:spPr>
          <c:marker>
            <c:symbol val="none"/>
          </c:marker>
          <c:cat>
            <c:strRef>
              <c:f>'Pivot Tables'!$A$7:$A$79</c:f>
              <c:strCache>
                <c:ptCount val="72"/>
                <c:pt idx="0">
                  <c:v>01-Aug</c:v>
                </c:pt>
                <c:pt idx="1">
                  <c:v>02-Aug</c:v>
                </c:pt>
                <c:pt idx="2">
                  <c:v>03-Aug</c:v>
                </c:pt>
                <c:pt idx="3">
                  <c:v>04-Aug</c:v>
                </c:pt>
                <c:pt idx="4">
                  <c:v>05-Aug</c:v>
                </c:pt>
                <c:pt idx="5">
                  <c:v>06-Aug</c:v>
                </c:pt>
                <c:pt idx="6">
                  <c:v>07-Aug</c:v>
                </c:pt>
                <c:pt idx="7">
                  <c:v>08-Aug</c:v>
                </c:pt>
                <c:pt idx="8">
                  <c:v>09-Aug</c:v>
                </c:pt>
                <c:pt idx="9">
                  <c:v>10-Aug</c:v>
                </c:pt>
                <c:pt idx="10">
                  <c:v>11-Aug</c:v>
                </c:pt>
                <c:pt idx="11">
                  <c:v>12-Aug</c:v>
                </c:pt>
                <c:pt idx="12">
                  <c:v>13-Aug</c:v>
                </c:pt>
                <c:pt idx="13">
                  <c:v>14-Aug</c:v>
                </c:pt>
                <c:pt idx="14">
                  <c:v>15-Aug</c:v>
                </c:pt>
                <c:pt idx="15">
                  <c:v>16-Aug</c:v>
                </c:pt>
                <c:pt idx="16">
                  <c:v>17-Aug</c:v>
                </c:pt>
                <c:pt idx="17">
                  <c:v>21-Aug</c:v>
                </c:pt>
                <c:pt idx="18">
                  <c:v>22-Aug</c:v>
                </c:pt>
                <c:pt idx="19">
                  <c:v>23-Aug</c:v>
                </c:pt>
                <c:pt idx="20">
                  <c:v>24-Aug</c:v>
                </c:pt>
                <c:pt idx="21">
                  <c:v>25-Aug</c:v>
                </c:pt>
                <c:pt idx="22">
                  <c:v>27-Aug</c:v>
                </c:pt>
                <c:pt idx="23">
                  <c:v>28-Aug</c:v>
                </c:pt>
                <c:pt idx="24">
                  <c:v>29-Aug</c:v>
                </c:pt>
                <c:pt idx="25">
                  <c:v>30-Aug</c:v>
                </c:pt>
                <c:pt idx="26">
                  <c:v>02-Sept</c:v>
                </c:pt>
                <c:pt idx="27">
                  <c:v>04-Sept</c:v>
                </c:pt>
                <c:pt idx="28">
                  <c:v>05-Sept</c:v>
                </c:pt>
                <c:pt idx="29">
                  <c:v>06-Sept</c:v>
                </c:pt>
                <c:pt idx="30">
                  <c:v>08-Sept</c:v>
                </c:pt>
                <c:pt idx="31">
                  <c:v>10-Sept</c:v>
                </c:pt>
                <c:pt idx="32">
                  <c:v>11-Sept</c:v>
                </c:pt>
                <c:pt idx="33">
                  <c:v>12-Sept</c:v>
                </c:pt>
                <c:pt idx="34">
                  <c:v>14-Sept</c:v>
                </c:pt>
                <c:pt idx="35">
                  <c:v>15-Sept</c:v>
                </c:pt>
                <c:pt idx="36">
                  <c:v>16-Sept</c:v>
                </c:pt>
                <c:pt idx="37">
                  <c:v>19-Sept</c:v>
                </c:pt>
                <c:pt idx="38">
                  <c:v>20-Sept</c:v>
                </c:pt>
                <c:pt idx="39">
                  <c:v>21-Sept</c:v>
                </c:pt>
                <c:pt idx="40">
                  <c:v>22-Sept</c:v>
                </c:pt>
                <c:pt idx="41">
                  <c:v>23-Sept</c:v>
                </c:pt>
                <c:pt idx="42">
                  <c:v>24-Sept</c:v>
                </c:pt>
                <c:pt idx="43">
                  <c:v>25-Sept</c:v>
                </c:pt>
                <c:pt idx="44">
                  <c:v>26-Sept</c:v>
                </c:pt>
                <c:pt idx="45">
                  <c:v>27-Sept</c:v>
                </c:pt>
                <c:pt idx="46">
                  <c:v>28-Sept</c:v>
                </c:pt>
                <c:pt idx="47">
                  <c:v>29-Sept</c:v>
                </c:pt>
                <c:pt idx="48">
                  <c:v>30-Sept</c:v>
                </c:pt>
                <c:pt idx="49">
                  <c:v>02-Oct</c:v>
                </c:pt>
                <c:pt idx="50">
                  <c:v>03-Oct</c:v>
                </c:pt>
                <c:pt idx="51">
                  <c:v>04-Oct</c:v>
                </c:pt>
                <c:pt idx="52">
                  <c:v>05-Oct</c:v>
                </c:pt>
                <c:pt idx="53">
                  <c:v>06-Oct</c:v>
                </c:pt>
                <c:pt idx="54">
                  <c:v>07-Oct</c:v>
                </c:pt>
                <c:pt idx="55">
                  <c:v>08-Oct</c:v>
                </c:pt>
                <c:pt idx="56">
                  <c:v>09-Oct</c:v>
                </c:pt>
                <c:pt idx="57">
                  <c:v>10-Oct</c:v>
                </c:pt>
                <c:pt idx="58">
                  <c:v>11-Oct</c:v>
                </c:pt>
                <c:pt idx="59">
                  <c:v>12-Oct</c:v>
                </c:pt>
                <c:pt idx="60">
                  <c:v>14-Oct</c:v>
                </c:pt>
                <c:pt idx="61">
                  <c:v>16-Oct</c:v>
                </c:pt>
                <c:pt idx="62">
                  <c:v>18-Oct</c:v>
                </c:pt>
                <c:pt idx="63">
                  <c:v>23-Oct</c:v>
                </c:pt>
                <c:pt idx="64">
                  <c:v>24-Oct</c:v>
                </c:pt>
                <c:pt idx="65">
                  <c:v>26-Oct</c:v>
                </c:pt>
                <c:pt idx="66">
                  <c:v>29-Oct</c:v>
                </c:pt>
                <c:pt idx="67">
                  <c:v>30-Oct</c:v>
                </c:pt>
                <c:pt idx="68">
                  <c:v>31-Oct</c:v>
                </c:pt>
                <c:pt idx="69">
                  <c:v>04-Nov</c:v>
                </c:pt>
                <c:pt idx="70">
                  <c:v>06-Nov</c:v>
                </c:pt>
                <c:pt idx="71">
                  <c:v>09-Nov</c:v>
                </c:pt>
              </c:strCache>
            </c:strRef>
          </c:cat>
          <c:val>
            <c:numRef>
              <c:f>'Pivot Tables'!$C$7:$C$79</c:f>
              <c:numCache>
                <c:formatCode>General</c:formatCode>
                <c:ptCount val="72"/>
                <c:pt idx="0">
                  <c:v>22</c:v>
                </c:pt>
                <c:pt idx="1">
                  <c:v>64</c:v>
                </c:pt>
                <c:pt idx="2">
                  <c:v>105</c:v>
                </c:pt>
                <c:pt idx="3">
                  <c:v>60</c:v>
                </c:pt>
                <c:pt idx="4">
                  <c:v>54</c:v>
                </c:pt>
                <c:pt idx="5">
                  <c:v>36</c:v>
                </c:pt>
                <c:pt idx="6">
                  <c:v>283</c:v>
                </c:pt>
                <c:pt idx="7">
                  <c:v>115</c:v>
                </c:pt>
                <c:pt idx="8">
                  <c:v>42</c:v>
                </c:pt>
                <c:pt idx="9">
                  <c:v>44</c:v>
                </c:pt>
                <c:pt idx="10">
                  <c:v>39</c:v>
                </c:pt>
                <c:pt idx="11">
                  <c:v>19</c:v>
                </c:pt>
                <c:pt idx="12">
                  <c:v>44</c:v>
                </c:pt>
                <c:pt idx="13">
                  <c:v>25</c:v>
                </c:pt>
                <c:pt idx="14">
                  <c:v>21</c:v>
                </c:pt>
                <c:pt idx="15">
                  <c:v>24</c:v>
                </c:pt>
                <c:pt idx="16">
                  <c:v>18</c:v>
                </c:pt>
                <c:pt idx="17">
                  <c:v>47</c:v>
                </c:pt>
                <c:pt idx="18">
                  <c:v>19</c:v>
                </c:pt>
                <c:pt idx="19">
                  <c:v>15</c:v>
                </c:pt>
                <c:pt idx="20">
                  <c:v>18</c:v>
                </c:pt>
                <c:pt idx="21">
                  <c:v>25</c:v>
                </c:pt>
                <c:pt idx="22">
                  <c:v>15</c:v>
                </c:pt>
                <c:pt idx="23">
                  <c:v>47</c:v>
                </c:pt>
                <c:pt idx="24">
                  <c:v>21</c:v>
                </c:pt>
                <c:pt idx="25">
                  <c:v>76</c:v>
                </c:pt>
                <c:pt idx="26">
                  <c:v>16</c:v>
                </c:pt>
                <c:pt idx="27">
                  <c:v>15</c:v>
                </c:pt>
                <c:pt idx="28">
                  <c:v>53</c:v>
                </c:pt>
                <c:pt idx="29">
                  <c:v>16</c:v>
                </c:pt>
                <c:pt idx="30">
                  <c:v>19</c:v>
                </c:pt>
                <c:pt idx="31">
                  <c:v>19</c:v>
                </c:pt>
                <c:pt idx="32">
                  <c:v>16</c:v>
                </c:pt>
                <c:pt idx="33">
                  <c:v>16</c:v>
                </c:pt>
                <c:pt idx="34">
                  <c:v>48</c:v>
                </c:pt>
                <c:pt idx="35">
                  <c:v>22</c:v>
                </c:pt>
                <c:pt idx="36">
                  <c:v>40</c:v>
                </c:pt>
                <c:pt idx="37">
                  <c:v>25</c:v>
                </c:pt>
                <c:pt idx="38">
                  <c:v>23</c:v>
                </c:pt>
                <c:pt idx="39">
                  <c:v>17</c:v>
                </c:pt>
                <c:pt idx="40">
                  <c:v>23</c:v>
                </c:pt>
                <c:pt idx="41">
                  <c:v>25</c:v>
                </c:pt>
                <c:pt idx="42">
                  <c:v>40</c:v>
                </c:pt>
                <c:pt idx="43">
                  <c:v>80</c:v>
                </c:pt>
                <c:pt idx="44">
                  <c:v>45</c:v>
                </c:pt>
                <c:pt idx="45">
                  <c:v>20</c:v>
                </c:pt>
                <c:pt idx="46">
                  <c:v>52</c:v>
                </c:pt>
                <c:pt idx="47">
                  <c:v>43</c:v>
                </c:pt>
                <c:pt idx="48">
                  <c:v>21</c:v>
                </c:pt>
                <c:pt idx="49">
                  <c:v>39</c:v>
                </c:pt>
                <c:pt idx="50">
                  <c:v>15</c:v>
                </c:pt>
                <c:pt idx="51">
                  <c:v>42</c:v>
                </c:pt>
                <c:pt idx="52">
                  <c:v>41</c:v>
                </c:pt>
                <c:pt idx="53">
                  <c:v>16</c:v>
                </c:pt>
                <c:pt idx="54">
                  <c:v>68</c:v>
                </c:pt>
                <c:pt idx="55">
                  <c:v>38</c:v>
                </c:pt>
                <c:pt idx="56">
                  <c:v>39</c:v>
                </c:pt>
                <c:pt idx="57">
                  <c:v>34</c:v>
                </c:pt>
                <c:pt idx="58">
                  <c:v>17</c:v>
                </c:pt>
                <c:pt idx="59">
                  <c:v>16</c:v>
                </c:pt>
                <c:pt idx="60">
                  <c:v>32</c:v>
                </c:pt>
                <c:pt idx="61">
                  <c:v>75</c:v>
                </c:pt>
                <c:pt idx="62">
                  <c:v>44</c:v>
                </c:pt>
                <c:pt idx="63">
                  <c:v>25</c:v>
                </c:pt>
                <c:pt idx="64">
                  <c:v>22</c:v>
                </c:pt>
                <c:pt idx="65">
                  <c:v>24</c:v>
                </c:pt>
                <c:pt idx="66">
                  <c:v>22</c:v>
                </c:pt>
                <c:pt idx="67">
                  <c:v>15</c:v>
                </c:pt>
                <c:pt idx="68">
                  <c:v>37</c:v>
                </c:pt>
                <c:pt idx="69">
                  <c:v>18</c:v>
                </c:pt>
                <c:pt idx="70">
                  <c:v>36</c:v>
                </c:pt>
                <c:pt idx="71">
                  <c:v>32</c:v>
                </c:pt>
              </c:numCache>
            </c:numRef>
          </c:val>
          <c:smooth val="0"/>
          <c:extLst>
            <c:ext xmlns:c16="http://schemas.microsoft.com/office/drawing/2014/chart" uri="{C3380CC4-5D6E-409C-BE32-E72D297353CC}">
              <c16:uniqueId val="{00000001-E381-4BD6-B233-434388DE7BC6}"/>
            </c:ext>
          </c:extLst>
        </c:ser>
        <c:dLbls>
          <c:showLegendKey val="0"/>
          <c:showVal val="0"/>
          <c:showCatName val="0"/>
          <c:showSerName val="0"/>
          <c:showPercent val="0"/>
          <c:showBubbleSize val="0"/>
        </c:dLbls>
        <c:marker val="1"/>
        <c:smooth val="0"/>
        <c:axId val="1170141471"/>
        <c:axId val="1170140975"/>
      </c:lineChart>
      <c:catAx>
        <c:axId val="117014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NG"/>
          </a:p>
        </c:txPr>
        <c:crossAx val="1170152383"/>
        <c:crosses val="autoZero"/>
        <c:auto val="1"/>
        <c:lblAlgn val="ctr"/>
        <c:lblOffset val="100"/>
        <c:noMultiLvlLbl val="0"/>
      </c:catAx>
      <c:valAx>
        <c:axId val="11701523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NG"/>
          </a:p>
        </c:txPr>
        <c:crossAx val="1170145439"/>
        <c:crosses val="autoZero"/>
        <c:crossBetween val="between"/>
      </c:valAx>
      <c:valAx>
        <c:axId val="117014097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NG"/>
          </a:p>
        </c:txPr>
        <c:crossAx val="1170141471"/>
        <c:crosses val="max"/>
        <c:crossBetween val="between"/>
      </c:valAx>
      <c:catAx>
        <c:axId val="1170141471"/>
        <c:scaling>
          <c:orientation val="minMax"/>
        </c:scaling>
        <c:delete val="1"/>
        <c:axPos val="b"/>
        <c:numFmt formatCode="General" sourceLinked="1"/>
        <c:majorTickMark val="out"/>
        <c:minorTickMark val="none"/>
        <c:tickLblPos val="nextTo"/>
        <c:crossAx val="1170140975"/>
        <c:crosses val="autoZero"/>
        <c:auto val="1"/>
        <c:lblAlgn val="ctr"/>
        <c:lblOffset val="100"/>
        <c:noMultiLvlLbl val="0"/>
      </c:catAx>
      <c:spPr>
        <a:noFill/>
        <a:ln>
          <a:noFill/>
        </a:ln>
        <a:effectLst/>
      </c:spPr>
    </c:plotArea>
    <c:legend>
      <c:legendPos val="t"/>
      <c:layout>
        <c:manualLayout>
          <c:xMode val="edge"/>
          <c:yMode val="edge"/>
          <c:x val="0.73244191312579199"/>
          <c:y val="5.128205128205128E-2"/>
          <c:w val="0.1670797349555582"/>
          <c:h val="0.108173834039975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[SwiftCartHub_data.xlsx]Pivot Tables!PivotTable6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3F3EF">
              <a:alpha val="45000"/>
            </a:srgbClr>
          </a:solidFill>
          <a:ln w="22225">
            <a:solidFill>
              <a:srgbClr val="43F3EF"/>
            </a:solidFill>
            <a:prstDash val="sysDash"/>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Tables'!$G$6</c:f>
              <c:strCache>
                <c:ptCount val="1"/>
                <c:pt idx="0">
                  <c:v>Total</c:v>
                </c:pt>
              </c:strCache>
            </c:strRef>
          </c:tx>
          <c:spPr>
            <a:solidFill>
              <a:srgbClr val="43F3EF">
                <a:alpha val="45000"/>
              </a:srgbClr>
            </a:solidFill>
            <a:ln w="22225">
              <a:solidFill>
                <a:srgbClr val="43F3EF"/>
              </a:solidFill>
              <a:prstDash val="sysDash"/>
            </a:ln>
            <a:effectLst/>
          </c:spPr>
          <c:cat>
            <c:strRef>
              <c:f>'Pivot Tables'!$F$7:$F$79</c:f>
              <c:strCache>
                <c:ptCount val="72"/>
                <c:pt idx="0">
                  <c:v>01-Aug</c:v>
                </c:pt>
                <c:pt idx="1">
                  <c:v>02-Aug</c:v>
                </c:pt>
                <c:pt idx="2">
                  <c:v>03-Aug</c:v>
                </c:pt>
                <c:pt idx="3">
                  <c:v>04-Aug</c:v>
                </c:pt>
                <c:pt idx="4">
                  <c:v>05-Aug</c:v>
                </c:pt>
                <c:pt idx="5">
                  <c:v>06-Aug</c:v>
                </c:pt>
                <c:pt idx="6">
                  <c:v>07-Aug</c:v>
                </c:pt>
                <c:pt idx="7">
                  <c:v>08-Aug</c:v>
                </c:pt>
                <c:pt idx="8">
                  <c:v>09-Aug</c:v>
                </c:pt>
                <c:pt idx="9">
                  <c:v>10-Aug</c:v>
                </c:pt>
                <c:pt idx="10">
                  <c:v>11-Aug</c:v>
                </c:pt>
                <c:pt idx="11">
                  <c:v>12-Aug</c:v>
                </c:pt>
                <c:pt idx="12">
                  <c:v>13-Aug</c:v>
                </c:pt>
                <c:pt idx="13">
                  <c:v>14-Aug</c:v>
                </c:pt>
                <c:pt idx="14">
                  <c:v>15-Aug</c:v>
                </c:pt>
                <c:pt idx="15">
                  <c:v>16-Aug</c:v>
                </c:pt>
                <c:pt idx="16">
                  <c:v>17-Aug</c:v>
                </c:pt>
                <c:pt idx="17">
                  <c:v>21-Aug</c:v>
                </c:pt>
                <c:pt idx="18">
                  <c:v>22-Aug</c:v>
                </c:pt>
                <c:pt idx="19">
                  <c:v>23-Aug</c:v>
                </c:pt>
                <c:pt idx="20">
                  <c:v>24-Aug</c:v>
                </c:pt>
                <c:pt idx="21">
                  <c:v>25-Aug</c:v>
                </c:pt>
                <c:pt idx="22">
                  <c:v>27-Aug</c:v>
                </c:pt>
                <c:pt idx="23">
                  <c:v>28-Aug</c:v>
                </c:pt>
                <c:pt idx="24">
                  <c:v>29-Aug</c:v>
                </c:pt>
                <c:pt idx="25">
                  <c:v>30-Aug</c:v>
                </c:pt>
                <c:pt idx="26">
                  <c:v>02-Sept</c:v>
                </c:pt>
                <c:pt idx="27">
                  <c:v>04-Sept</c:v>
                </c:pt>
                <c:pt idx="28">
                  <c:v>05-Sept</c:v>
                </c:pt>
                <c:pt idx="29">
                  <c:v>06-Sept</c:v>
                </c:pt>
                <c:pt idx="30">
                  <c:v>08-Sept</c:v>
                </c:pt>
                <c:pt idx="31">
                  <c:v>10-Sept</c:v>
                </c:pt>
                <c:pt idx="32">
                  <c:v>11-Sept</c:v>
                </c:pt>
                <c:pt idx="33">
                  <c:v>12-Sept</c:v>
                </c:pt>
                <c:pt idx="34">
                  <c:v>14-Sept</c:v>
                </c:pt>
                <c:pt idx="35">
                  <c:v>15-Sept</c:v>
                </c:pt>
                <c:pt idx="36">
                  <c:v>16-Sept</c:v>
                </c:pt>
                <c:pt idx="37">
                  <c:v>19-Sept</c:v>
                </c:pt>
                <c:pt idx="38">
                  <c:v>20-Sept</c:v>
                </c:pt>
                <c:pt idx="39">
                  <c:v>21-Sept</c:v>
                </c:pt>
                <c:pt idx="40">
                  <c:v>22-Sept</c:v>
                </c:pt>
                <c:pt idx="41">
                  <c:v>23-Sept</c:v>
                </c:pt>
                <c:pt idx="42">
                  <c:v>24-Sept</c:v>
                </c:pt>
                <c:pt idx="43">
                  <c:v>25-Sept</c:v>
                </c:pt>
                <c:pt idx="44">
                  <c:v>26-Sept</c:v>
                </c:pt>
                <c:pt idx="45">
                  <c:v>27-Sept</c:v>
                </c:pt>
                <c:pt idx="46">
                  <c:v>28-Sept</c:v>
                </c:pt>
                <c:pt idx="47">
                  <c:v>29-Sept</c:v>
                </c:pt>
                <c:pt idx="48">
                  <c:v>30-Sept</c:v>
                </c:pt>
                <c:pt idx="49">
                  <c:v>02-Oct</c:v>
                </c:pt>
                <c:pt idx="50">
                  <c:v>03-Oct</c:v>
                </c:pt>
                <c:pt idx="51">
                  <c:v>04-Oct</c:v>
                </c:pt>
                <c:pt idx="52">
                  <c:v>05-Oct</c:v>
                </c:pt>
                <c:pt idx="53">
                  <c:v>06-Oct</c:v>
                </c:pt>
                <c:pt idx="54">
                  <c:v>07-Oct</c:v>
                </c:pt>
                <c:pt idx="55">
                  <c:v>08-Oct</c:v>
                </c:pt>
                <c:pt idx="56">
                  <c:v>09-Oct</c:v>
                </c:pt>
                <c:pt idx="57">
                  <c:v>10-Oct</c:v>
                </c:pt>
                <c:pt idx="58">
                  <c:v>11-Oct</c:v>
                </c:pt>
                <c:pt idx="59">
                  <c:v>12-Oct</c:v>
                </c:pt>
                <c:pt idx="60">
                  <c:v>14-Oct</c:v>
                </c:pt>
                <c:pt idx="61">
                  <c:v>16-Oct</c:v>
                </c:pt>
                <c:pt idx="62">
                  <c:v>18-Oct</c:v>
                </c:pt>
                <c:pt idx="63">
                  <c:v>23-Oct</c:v>
                </c:pt>
                <c:pt idx="64">
                  <c:v>24-Oct</c:v>
                </c:pt>
                <c:pt idx="65">
                  <c:v>26-Oct</c:v>
                </c:pt>
                <c:pt idx="66">
                  <c:v>29-Oct</c:v>
                </c:pt>
                <c:pt idx="67">
                  <c:v>30-Oct</c:v>
                </c:pt>
                <c:pt idx="68">
                  <c:v>31-Oct</c:v>
                </c:pt>
                <c:pt idx="69">
                  <c:v>04-Nov</c:v>
                </c:pt>
                <c:pt idx="70">
                  <c:v>06-Nov</c:v>
                </c:pt>
                <c:pt idx="71">
                  <c:v>09-Nov</c:v>
                </c:pt>
              </c:strCache>
            </c:strRef>
          </c:cat>
          <c:val>
            <c:numRef>
              <c:f>'Pivot Tables'!$G$7:$G$79</c:f>
              <c:numCache>
                <c:formatCode>[&gt;=1000000]\$0.0,,"M";[&gt;=1000]\$0.0,"K";0</c:formatCode>
                <c:ptCount val="72"/>
                <c:pt idx="0">
                  <c:v>74800</c:v>
                </c:pt>
                <c:pt idx="1">
                  <c:v>154600</c:v>
                </c:pt>
                <c:pt idx="2">
                  <c:v>160000</c:v>
                </c:pt>
                <c:pt idx="3">
                  <c:v>120000</c:v>
                </c:pt>
                <c:pt idx="4">
                  <c:v>217700</c:v>
                </c:pt>
                <c:pt idx="5">
                  <c:v>210000</c:v>
                </c:pt>
                <c:pt idx="6">
                  <c:v>560000</c:v>
                </c:pt>
                <c:pt idx="7">
                  <c:v>327700</c:v>
                </c:pt>
                <c:pt idx="8">
                  <c:v>179400</c:v>
                </c:pt>
                <c:pt idx="9">
                  <c:v>149600</c:v>
                </c:pt>
                <c:pt idx="10">
                  <c:v>132600</c:v>
                </c:pt>
                <c:pt idx="11">
                  <c:v>64600</c:v>
                </c:pt>
                <c:pt idx="12">
                  <c:v>149600</c:v>
                </c:pt>
                <c:pt idx="13">
                  <c:v>70000</c:v>
                </c:pt>
                <c:pt idx="14">
                  <c:v>71400</c:v>
                </c:pt>
                <c:pt idx="15">
                  <c:v>81600</c:v>
                </c:pt>
                <c:pt idx="16">
                  <c:v>61200</c:v>
                </c:pt>
                <c:pt idx="17">
                  <c:v>159800</c:v>
                </c:pt>
                <c:pt idx="18">
                  <c:v>64600</c:v>
                </c:pt>
                <c:pt idx="19">
                  <c:v>51000</c:v>
                </c:pt>
                <c:pt idx="20">
                  <c:v>61200</c:v>
                </c:pt>
                <c:pt idx="21">
                  <c:v>85000</c:v>
                </c:pt>
                <c:pt idx="22">
                  <c:v>51000</c:v>
                </c:pt>
                <c:pt idx="23">
                  <c:v>159800</c:v>
                </c:pt>
                <c:pt idx="24">
                  <c:v>71400</c:v>
                </c:pt>
                <c:pt idx="25">
                  <c:v>258400</c:v>
                </c:pt>
                <c:pt idx="26">
                  <c:v>54400</c:v>
                </c:pt>
                <c:pt idx="27">
                  <c:v>51000</c:v>
                </c:pt>
                <c:pt idx="28">
                  <c:v>180200</c:v>
                </c:pt>
                <c:pt idx="29">
                  <c:v>54400</c:v>
                </c:pt>
                <c:pt idx="30">
                  <c:v>64600</c:v>
                </c:pt>
                <c:pt idx="31">
                  <c:v>64600</c:v>
                </c:pt>
                <c:pt idx="32">
                  <c:v>54400</c:v>
                </c:pt>
                <c:pt idx="33">
                  <c:v>54400</c:v>
                </c:pt>
                <c:pt idx="34">
                  <c:v>163200</c:v>
                </c:pt>
                <c:pt idx="35">
                  <c:v>74800</c:v>
                </c:pt>
                <c:pt idx="36">
                  <c:v>136000</c:v>
                </c:pt>
                <c:pt idx="37">
                  <c:v>85000</c:v>
                </c:pt>
                <c:pt idx="38">
                  <c:v>78200</c:v>
                </c:pt>
                <c:pt idx="39">
                  <c:v>57800</c:v>
                </c:pt>
                <c:pt idx="40">
                  <c:v>78200</c:v>
                </c:pt>
                <c:pt idx="41">
                  <c:v>85000</c:v>
                </c:pt>
                <c:pt idx="42">
                  <c:v>136000</c:v>
                </c:pt>
                <c:pt idx="43">
                  <c:v>272000</c:v>
                </c:pt>
                <c:pt idx="44">
                  <c:v>153000</c:v>
                </c:pt>
                <c:pt idx="45">
                  <c:v>68000</c:v>
                </c:pt>
                <c:pt idx="46">
                  <c:v>176800</c:v>
                </c:pt>
                <c:pt idx="47">
                  <c:v>146200</c:v>
                </c:pt>
                <c:pt idx="48">
                  <c:v>71400</c:v>
                </c:pt>
                <c:pt idx="49">
                  <c:v>132600</c:v>
                </c:pt>
                <c:pt idx="50">
                  <c:v>51000</c:v>
                </c:pt>
                <c:pt idx="51">
                  <c:v>142800</c:v>
                </c:pt>
                <c:pt idx="52">
                  <c:v>139400</c:v>
                </c:pt>
                <c:pt idx="53">
                  <c:v>54400</c:v>
                </c:pt>
                <c:pt idx="54">
                  <c:v>231200</c:v>
                </c:pt>
                <c:pt idx="55">
                  <c:v>129200</c:v>
                </c:pt>
                <c:pt idx="56">
                  <c:v>132600</c:v>
                </c:pt>
                <c:pt idx="57">
                  <c:v>115600</c:v>
                </c:pt>
                <c:pt idx="58">
                  <c:v>57800</c:v>
                </c:pt>
                <c:pt idx="59">
                  <c:v>54400</c:v>
                </c:pt>
                <c:pt idx="60">
                  <c:v>108800</c:v>
                </c:pt>
                <c:pt idx="61">
                  <c:v>255000</c:v>
                </c:pt>
                <c:pt idx="62">
                  <c:v>149600</c:v>
                </c:pt>
                <c:pt idx="63">
                  <c:v>85000</c:v>
                </c:pt>
                <c:pt idx="64">
                  <c:v>74800</c:v>
                </c:pt>
                <c:pt idx="65">
                  <c:v>81600</c:v>
                </c:pt>
                <c:pt idx="66">
                  <c:v>74800</c:v>
                </c:pt>
                <c:pt idx="67">
                  <c:v>70000</c:v>
                </c:pt>
                <c:pt idx="68">
                  <c:v>125800</c:v>
                </c:pt>
                <c:pt idx="69">
                  <c:v>61200</c:v>
                </c:pt>
                <c:pt idx="70">
                  <c:v>122400</c:v>
                </c:pt>
                <c:pt idx="71">
                  <c:v>108800</c:v>
                </c:pt>
              </c:numCache>
            </c:numRef>
          </c:val>
          <c:extLst>
            <c:ext xmlns:c16="http://schemas.microsoft.com/office/drawing/2014/chart" uri="{C3380CC4-5D6E-409C-BE32-E72D297353CC}">
              <c16:uniqueId val="{00000000-86B9-4BE8-BD94-8D1487DF4191}"/>
            </c:ext>
          </c:extLst>
        </c:ser>
        <c:dLbls>
          <c:showLegendKey val="0"/>
          <c:showVal val="0"/>
          <c:showCatName val="0"/>
          <c:showSerName val="0"/>
          <c:showPercent val="0"/>
          <c:showBubbleSize val="0"/>
        </c:dLbls>
        <c:axId val="1195897135"/>
        <c:axId val="1202735903"/>
      </c:areaChart>
      <c:catAx>
        <c:axId val="1195897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NG"/>
          </a:p>
        </c:txPr>
        <c:crossAx val="1202735903"/>
        <c:crosses val="autoZero"/>
        <c:auto val="1"/>
        <c:lblAlgn val="ctr"/>
        <c:lblOffset val="100"/>
        <c:noMultiLvlLbl val="0"/>
      </c:catAx>
      <c:valAx>
        <c:axId val="1202735903"/>
        <c:scaling>
          <c:orientation val="minMax"/>
        </c:scaling>
        <c:delete val="0"/>
        <c:axPos val="l"/>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NG"/>
          </a:p>
        </c:txPr>
        <c:crossAx val="11958971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[SwiftCartHub_data.xlsx]Pivot Tables!PivotTable7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BB6FE6"/>
          </a:solidFill>
          <a:ln>
            <a:noFill/>
          </a:ln>
          <a:effectLst/>
        </c:spPr>
      </c:pivotFmt>
      <c:pivotFmt>
        <c:idx val="4"/>
        <c:spPr>
          <a:solidFill>
            <a:srgbClr val="697184"/>
          </a:solidFill>
          <a:ln>
            <a:noFill/>
          </a:ln>
          <a:effectLst/>
        </c:spPr>
      </c:pivotFmt>
      <c:pivotFmt>
        <c:idx val="5"/>
        <c:spPr>
          <a:solidFill>
            <a:srgbClr val="00FFEF"/>
          </a:solidFill>
          <a:ln>
            <a:noFill/>
          </a:ln>
          <a:effectLst/>
        </c:spPr>
      </c:pivotFmt>
      <c:pivotFmt>
        <c:idx val="6"/>
        <c:spPr>
          <a:solidFill>
            <a:srgbClr val="003FFC"/>
          </a:solidFill>
          <a:ln>
            <a:noFill/>
          </a:ln>
          <a:effectLst/>
        </c:spPr>
      </c:pivotFmt>
      <c:pivotFmt>
        <c:idx val="7"/>
        <c:spPr>
          <a:solidFill>
            <a:srgbClr val="0090FE"/>
          </a:solidFill>
          <a:ln>
            <a:noFill/>
          </a:ln>
          <a:effectLst/>
        </c:spPr>
      </c:pivotFmt>
      <c:pivotFmt>
        <c:idx val="8"/>
        <c:spPr>
          <a:solidFill>
            <a:srgbClr val="15476A"/>
          </a:solidFill>
          <a:ln>
            <a:noFill/>
          </a:ln>
          <a:effectLst/>
        </c:spPr>
      </c:pivotFmt>
    </c:pivotFmts>
    <c:plotArea>
      <c:layout/>
      <c:barChart>
        <c:barDir val="col"/>
        <c:grouping val="clustered"/>
        <c:varyColors val="0"/>
        <c:ser>
          <c:idx val="0"/>
          <c:order val="0"/>
          <c:tx>
            <c:strRef>
              <c:f>'Pivot Tables'!$J$6</c:f>
              <c:strCache>
                <c:ptCount val="1"/>
                <c:pt idx="0">
                  <c:v>Total</c:v>
                </c:pt>
              </c:strCache>
            </c:strRef>
          </c:tx>
          <c:spPr>
            <a:solidFill>
              <a:schemeClr val="accent1"/>
            </a:solidFill>
            <a:ln>
              <a:noFill/>
            </a:ln>
            <a:effectLst/>
          </c:spPr>
          <c:invertIfNegative val="0"/>
          <c:dPt>
            <c:idx val="0"/>
            <c:invertIfNegative val="0"/>
            <c:bubble3D val="0"/>
            <c:spPr>
              <a:solidFill>
                <a:srgbClr val="BB6FE6"/>
              </a:solidFill>
              <a:ln>
                <a:noFill/>
              </a:ln>
              <a:effectLst/>
            </c:spPr>
            <c:extLst>
              <c:ext xmlns:c16="http://schemas.microsoft.com/office/drawing/2014/chart" uri="{C3380CC4-5D6E-409C-BE32-E72D297353CC}">
                <c16:uniqueId val="{00000001-17B6-4DC2-84E0-EA2E238059CA}"/>
              </c:ext>
            </c:extLst>
          </c:dPt>
          <c:dPt>
            <c:idx val="1"/>
            <c:invertIfNegative val="0"/>
            <c:bubble3D val="0"/>
            <c:spPr>
              <a:solidFill>
                <a:srgbClr val="697184"/>
              </a:solidFill>
              <a:ln>
                <a:noFill/>
              </a:ln>
              <a:effectLst/>
            </c:spPr>
            <c:extLst>
              <c:ext xmlns:c16="http://schemas.microsoft.com/office/drawing/2014/chart" uri="{C3380CC4-5D6E-409C-BE32-E72D297353CC}">
                <c16:uniqueId val="{00000002-17B6-4DC2-84E0-EA2E238059CA}"/>
              </c:ext>
            </c:extLst>
          </c:dPt>
          <c:dPt>
            <c:idx val="2"/>
            <c:invertIfNegative val="0"/>
            <c:bubble3D val="0"/>
            <c:spPr>
              <a:solidFill>
                <a:srgbClr val="00FFEF"/>
              </a:solidFill>
              <a:ln>
                <a:noFill/>
              </a:ln>
              <a:effectLst/>
            </c:spPr>
            <c:extLst>
              <c:ext xmlns:c16="http://schemas.microsoft.com/office/drawing/2014/chart" uri="{C3380CC4-5D6E-409C-BE32-E72D297353CC}">
                <c16:uniqueId val="{00000003-17B6-4DC2-84E0-EA2E238059CA}"/>
              </c:ext>
            </c:extLst>
          </c:dPt>
          <c:dPt>
            <c:idx val="3"/>
            <c:invertIfNegative val="0"/>
            <c:bubble3D val="0"/>
            <c:spPr>
              <a:solidFill>
                <a:srgbClr val="003FFC"/>
              </a:solidFill>
              <a:ln>
                <a:noFill/>
              </a:ln>
              <a:effectLst/>
            </c:spPr>
            <c:extLst>
              <c:ext xmlns:c16="http://schemas.microsoft.com/office/drawing/2014/chart" uri="{C3380CC4-5D6E-409C-BE32-E72D297353CC}">
                <c16:uniqueId val="{00000005-17B6-4DC2-84E0-EA2E238059CA}"/>
              </c:ext>
            </c:extLst>
          </c:dPt>
          <c:dPt>
            <c:idx val="4"/>
            <c:invertIfNegative val="0"/>
            <c:bubble3D val="0"/>
            <c:spPr>
              <a:solidFill>
                <a:srgbClr val="0090FE"/>
              </a:solidFill>
              <a:ln>
                <a:noFill/>
              </a:ln>
              <a:effectLst/>
            </c:spPr>
            <c:extLst>
              <c:ext xmlns:c16="http://schemas.microsoft.com/office/drawing/2014/chart" uri="{C3380CC4-5D6E-409C-BE32-E72D297353CC}">
                <c16:uniqueId val="{00000006-17B6-4DC2-84E0-EA2E238059CA}"/>
              </c:ext>
            </c:extLst>
          </c:dPt>
          <c:dPt>
            <c:idx val="5"/>
            <c:invertIfNegative val="0"/>
            <c:bubble3D val="0"/>
            <c:spPr>
              <a:solidFill>
                <a:srgbClr val="15476A"/>
              </a:solidFill>
              <a:ln>
                <a:noFill/>
              </a:ln>
              <a:effectLst/>
            </c:spPr>
            <c:extLst>
              <c:ext xmlns:c16="http://schemas.microsoft.com/office/drawing/2014/chart" uri="{C3380CC4-5D6E-409C-BE32-E72D297353CC}">
                <c16:uniqueId val="{00000007-17B6-4DC2-84E0-EA2E238059CA}"/>
              </c:ext>
            </c:extLst>
          </c:dPt>
          <c:cat>
            <c:strRef>
              <c:f>'Pivot Tables'!$I$7:$I$13</c:f>
              <c:strCache>
                <c:ptCount val="6"/>
                <c:pt idx="0">
                  <c:v>France</c:v>
                </c:pt>
                <c:pt idx="1">
                  <c:v>Germany</c:v>
                </c:pt>
                <c:pt idx="2">
                  <c:v>Italy</c:v>
                </c:pt>
                <c:pt idx="3">
                  <c:v>Spain</c:v>
                </c:pt>
                <c:pt idx="4">
                  <c:v>Switzerland</c:v>
                </c:pt>
                <c:pt idx="5">
                  <c:v>UK</c:v>
                </c:pt>
              </c:strCache>
            </c:strRef>
          </c:cat>
          <c:val>
            <c:numRef>
              <c:f>'Pivot Tables'!$J$7:$J$13</c:f>
              <c:numCache>
                <c:formatCode>General</c:formatCode>
                <c:ptCount val="6"/>
                <c:pt idx="0">
                  <c:v>464</c:v>
                </c:pt>
                <c:pt idx="1">
                  <c:v>641</c:v>
                </c:pt>
                <c:pt idx="2">
                  <c:v>415</c:v>
                </c:pt>
                <c:pt idx="3">
                  <c:v>389</c:v>
                </c:pt>
                <c:pt idx="4">
                  <c:v>435</c:v>
                </c:pt>
                <c:pt idx="5">
                  <c:v>395</c:v>
                </c:pt>
              </c:numCache>
            </c:numRef>
          </c:val>
          <c:extLst>
            <c:ext xmlns:c16="http://schemas.microsoft.com/office/drawing/2014/chart" uri="{C3380CC4-5D6E-409C-BE32-E72D297353CC}">
              <c16:uniqueId val="{00000000-17B6-4DC2-84E0-EA2E238059CA}"/>
            </c:ext>
          </c:extLst>
        </c:ser>
        <c:dLbls>
          <c:showLegendKey val="0"/>
          <c:showVal val="0"/>
          <c:showCatName val="0"/>
          <c:showSerName val="0"/>
          <c:showPercent val="0"/>
          <c:showBubbleSize val="0"/>
        </c:dLbls>
        <c:gapWidth val="219"/>
        <c:overlap val="-27"/>
        <c:axId val="1209568655"/>
        <c:axId val="1209568159"/>
      </c:barChart>
      <c:catAx>
        <c:axId val="120956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NG"/>
          </a:p>
        </c:txPr>
        <c:crossAx val="1209568159"/>
        <c:crosses val="autoZero"/>
        <c:auto val="1"/>
        <c:lblAlgn val="ctr"/>
        <c:lblOffset val="100"/>
        <c:noMultiLvlLbl val="0"/>
      </c:catAx>
      <c:valAx>
        <c:axId val="1209568159"/>
        <c:scaling>
          <c:orientation val="minMax"/>
        </c:scaling>
        <c:delete val="1"/>
        <c:axPos val="l"/>
        <c:numFmt formatCode="General" sourceLinked="1"/>
        <c:majorTickMark val="none"/>
        <c:minorTickMark val="none"/>
        <c:tickLblPos val="nextTo"/>
        <c:crossAx val="1209568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[SwiftCartHub_data.xlsx]Pivot Tables!PivotTable8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0ADAE0"/>
              </a:gs>
              <a:gs pos="51000">
                <a:srgbClr val="488AD9"/>
              </a:gs>
              <a:gs pos="100000">
                <a:srgbClr val="616BD6"/>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Tables'!$M$6</c:f>
              <c:strCache>
                <c:ptCount val="1"/>
                <c:pt idx="0">
                  <c:v>Total</c:v>
                </c:pt>
              </c:strCache>
            </c:strRef>
          </c:tx>
          <c:spPr>
            <a:gradFill>
              <a:gsLst>
                <a:gs pos="0">
                  <a:srgbClr val="0ADAE0"/>
                </a:gs>
                <a:gs pos="51000">
                  <a:srgbClr val="488AD9"/>
                </a:gs>
                <a:gs pos="100000">
                  <a:srgbClr val="616BD6"/>
                </a:gs>
              </a:gsLst>
              <a:lin ang="5400000" scaled="1"/>
            </a:gradFill>
            <a:ln>
              <a:noFill/>
            </a:ln>
            <a:effectLst/>
          </c:spPr>
          <c:invertIfNegative val="0"/>
          <c:cat>
            <c:strRef>
              <c:f>'Pivot Tables'!$L$7:$L$17</c:f>
              <c:strCache>
                <c:ptCount val="10"/>
                <c:pt idx="0">
                  <c:v>Gordon</c:v>
                </c:pt>
                <c:pt idx="1">
                  <c:v>Joe</c:v>
                </c:pt>
                <c:pt idx="2">
                  <c:v>John</c:v>
                </c:pt>
                <c:pt idx="3">
                  <c:v>Kelly</c:v>
                </c:pt>
                <c:pt idx="4">
                  <c:v>Ken</c:v>
                </c:pt>
                <c:pt idx="5">
                  <c:v>Marco</c:v>
                </c:pt>
                <c:pt idx="6">
                  <c:v>Mich</c:v>
                </c:pt>
                <c:pt idx="7">
                  <c:v>Noah</c:v>
                </c:pt>
                <c:pt idx="8">
                  <c:v>Patrick</c:v>
                </c:pt>
                <c:pt idx="9">
                  <c:v>Una</c:v>
                </c:pt>
              </c:strCache>
            </c:strRef>
          </c:cat>
          <c:val>
            <c:numRef>
              <c:f>'Pivot Tables'!$M$7:$M$17</c:f>
              <c:numCache>
                <c:formatCode>[&gt;=1000000]\$0.0,,"M";[&gt;=1000]\$0.0,"K";0</c:formatCode>
                <c:ptCount val="10"/>
                <c:pt idx="0">
                  <c:v>848000</c:v>
                </c:pt>
                <c:pt idx="1">
                  <c:v>920200</c:v>
                </c:pt>
                <c:pt idx="2">
                  <c:v>891000</c:v>
                </c:pt>
                <c:pt idx="3">
                  <c:v>875800</c:v>
                </c:pt>
                <c:pt idx="4">
                  <c:v>867500</c:v>
                </c:pt>
                <c:pt idx="5">
                  <c:v>885800</c:v>
                </c:pt>
                <c:pt idx="6">
                  <c:v>860600</c:v>
                </c:pt>
                <c:pt idx="7">
                  <c:v>846000</c:v>
                </c:pt>
                <c:pt idx="8">
                  <c:v>799400</c:v>
                </c:pt>
                <c:pt idx="9">
                  <c:v>871100</c:v>
                </c:pt>
              </c:numCache>
            </c:numRef>
          </c:val>
          <c:extLst>
            <c:ext xmlns:c16="http://schemas.microsoft.com/office/drawing/2014/chart" uri="{C3380CC4-5D6E-409C-BE32-E72D297353CC}">
              <c16:uniqueId val="{00000000-9E1D-4A80-A97B-F1C86B367D39}"/>
            </c:ext>
          </c:extLst>
        </c:ser>
        <c:dLbls>
          <c:showLegendKey val="0"/>
          <c:showVal val="0"/>
          <c:showCatName val="0"/>
          <c:showSerName val="0"/>
          <c:showPercent val="0"/>
          <c:showBubbleSize val="0"/>
        </c:dLbls>
        <c:gapWidth val="219"/>
        <c:overlap val="-27"/>
        <c:axId val="1323127807"/>
        <c:axId val="1323128303"/>
      </c:barChart>
      <c:catAx>
        <c:axId val="132312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NG"/>
          </a:p>
        </c:txPr>
        <c:crossAx val="1323128303"/>
        <c:crosses val="autoZero"/>
        <c:auto val="1"/>
        <c:lblAlgn val="ctr"/>
        <c:lblOffset val="100"/>
        <c:noMultiLvlLbl val="0"/>
      </c:catAx>
      <c:valAx>
        <c:axId val="1323128303"/>
        <c:scaling>
          <c:orientation val="minMax"/>
        </c:scaling>
        <c:delete val="1"/>
        <c:axPos val="l"/>
        <c:numFmt formatCode="[&gt;=1000000]\$0.0,,&quot;M&quot;;[&gt;=1000]\$0.0,&quot;K&quot;;0" sourceLinked="1"/>
        <c:majorTickMark val="none"/>
        <c:minorTickMark val="none"/>
        <c:tickLblPos val="nextTo"/>
        <c:crossAx val="1323127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BD6FE6"/>
              </a:solidFill>
              <a:ln w="19050">
                <a:noFill/>
              </a:ln>
              <a:effectLst/>
            </c:spPr>
            <c:extLst>
              <c:ext xmlns:c16="http://schemas.microsoft.com/office/drawing/2014/chart" uri="{C3380CC4-5D6E-409C-BE32-E72D297353CC}">
                <c16:uniqueId val="{00000002-7EAE-40C8-A95A-C3D91D8269E5}"/>
              </c:ext>
            </c:extLst>
          </c:dPt>
          <c:dPt>
            <c:idx val="1"/>
            <c:bubble3D val="0"/>
            <c:spPr>
              <a:solidFill>
                <a:srgbClr val="BD6FE6"/>
              </a:solidFill>
              <a:ln w="19050">
                <a:noFill/>
              </a:ln>
              <a:effectLst/>
            </c:spPr>
            <c:extLst>
              <c:ext xmlns:c16="http://schemas.microsoft.com/office/drawing/2014/chart" uri="{C3380CC4-5D6E-409C-BE32-E72D297353CC}">
                <c16:uniqueId val="{00000003-7EAE-40C8-A95A-C3D91D8269E5}"/>
              </c:ext>
            </c:extLst>
          </c:dPt>
          <c:dPt>
            <c:idx val="2"/>
            <c:bubble3D val="0"/>
            <c:spPr>
              <a:solidFill>
                <a:srgbClr val="15476A"/>
              </a:solidFill>
              <a:ln w="19050">
                <a:noFill/>
              </a:ln>
              <a:effectLst/>
            </c:spPr>
            <c:extLst>
              <c:ext xmlns:c16="http://schemas.microsoft.com/office/drawing/2014/chart" uri="{C3380CC4-5D6E-409C-BE32-E72D297353CC}">
                <c16:uniqueId val="{00000004-7EAE-40C8-A95A-C3D91D8269E5}"/>
              </c:ext>
            </c:extLst>
          </c:dPt>
          <c:dPt>
            <c:idx val="3"/>
            <c:bubble3D val="0"/>
            <c:spPr>
              <a:solidFill>
                <a:srgbClr val="15476A"/>
              </a:solidFill>
              <a:ln w="19050">
                <a:noFill/>
              </a:ln>
              <a:effectLst/>
            </c:spPr>
            <c:extLst>
              <c:ext xmlns:c16="http://schemas.microsoft.com/office/drawing/2014/chart" uri="{C3380CC4-5D6E-409C-BE32-E72D297353CC}">
                <c16:uniqueId val="{00000005-7EAE-40C8-A95A-C3D91D8269E5}"/>
              </c:ext>
            </c:extLst>
          </c:dPt>
          <c:dPt>
            <c:idx val="4"/>
            <c:bubble3D val="0"/>
            <c:spPr>
              <a:solidFill>
                <a:srgbClr val="00FFEF"/>
              </a:solidFill>
              <a:ln w="19050">
                <a:noFill/>
              </a:ln>
              <a:effectLst/>
            </c:spPr>
            <c:extLst>
              <c:ext xmlns:c16="http://schemas.microsoft.com/office/drawing/2014/chart" uri="{C3380CC4-5D6E-409C-BE32-E72D297353CC}">
                <c16:uniqueId val="{00000006-7EAE-40C8-A95A-C3D91D8269E5}"/>
              </c:ext>
            </c:extLst>
          </c:dPt>
          <c:dPt>
            <c:idx val="5"/>
            <c:bubble3D val="0"/>
            <c:spPr>
              <a:noFill/>
              <a:ln w="19050">
                <a:noFill/>
              </a:ln>
              <a:effectLst/>
            </c:spPr>
            <c:extLst>
              <c:ext xmlns:c16="http://schemas.microsoft.com/office/drawing/2014/chart" uri="{C3380CC4-5D6E-409C-BE32-E72D297353CC}">
                <c16:uniqueId val="{00000001-7EAE-40C8-A95A-C3D91D8269E5}"/>
              </c:ext>
            </c:extLst>
          </c:dPt>
          <c:val>
            <c:numLit>
              <c:formatCode>General</c:formatCode>
              <c:ptCount val="6"/>
              <c:pt idx="0">
                <c:v>1</c:v>
              </c:pt>
              <c:pt idx="1">
                <c:v>1</c:v>
              </c:pt>
              <c:pt idx="2">
                <c:v>1</c:v>
              </c:pt>
              <c:pt idx="3">
                <c:v>1</c:v>
              </c:pt>
              <c:pt idx="4">
                <c:v>1</c:v>
              </c:pt>
              <c:pt idx="5">
                <c:v>5</c:v>
              </c:pt>
            </c:numLit>
          </c:val>
          <c:extLst>
            <c:ext xmlns:c16="http://schemas.microsoft.com/office/drawing/2014/chart" uri="{C3380CC4-5D6E-409C-BE32-E72D297353CC}">
              <c16:uniqueId val="{00000000-7EAE-40C8-A95A-C3D91D8269E5}"/>
            </c:ext>
          </c:extLst>
        </c:ser>
        <c:dLbls>
          <c:showLegendKey val="0"/>
          <c:showVal val="0"/>
          <c:showCatName val="0"/>
          <c:showSerName val="0"/>
          <c:showPercent val="0"/>
          <c:showBubbleSize val="0"/>
          <c:showLeaderLines val="1"/>
        </c:dLbls>
        <c:firstSliceAng val="270"/>
        <c:holeSize val="60"/>
      </c:doughnutChart>
      <c:pieChart>
        <c:varyColors val="1"/>
        <c:ser>
          <c:idx val="1"/>
          <c:order val="1"/>
          <c:spPr>
            <a:ln>
              <a:noFill/>
            </a:ln>
            <a:effectLst>
              <a:outerShdw blurRad="50800" dist="38100" dir="5400000" algn="t" rotWithShape="0">
                <a:prstClr val="black">
                  <a:alpha val="40000"/>
                </a:prstClr>
              </a:outerShdw>
            </a:effectLst>
          </c:spPr>
          <c:dPt>
            <c:idx val="0"/>
            <c:bubble3D val="0"/>
            <c:spPr>
              <a:noFill/>
              <a:ln w="19050">
                <a:noFill/>
              </a:ln>
              <a:effectLst/>
            </c:spPr>
            <c:extLst>
              <c:ext xmlns:c16="http://schemas.microsoft.com/office/drawing/2014/chart" uri="{C3380CC4-5D6E-409C-BE32-E72D297353CC}">
                <c16:uniqueId val="{0000000B-7EAE-40C8-A95A-C3D91D8269E5}"/>
              </c:ext>
            </c:extLst>
          </c:dPt>
          <c:dPt>
            <c:idx val="1"/>
            <c:bubble3D val="0"/>
            <c:spPr>
              <a:solidFill>
                <a:schemeClr val="tx1">
                  <a:lumMod val="95000"/>
                  <a:lumOff val="5000"/>
                </a:schemeClr>
              </a:solidFill>
              <a:ln w="38100">
                <a:solidFill>
                  <a:schemeClr val="tx1">
                    <a:lumMod val="95000"/>
                    <a:lumOff val="5000"/>
                  </a:schemeClr>
                </a:solidFill>
              </a:ln>
              <a:effectLst>
                <a:outerShdw blurRad="50800" sx="102000" sy="102000" algn="t" rotWithShape="0">
                  <a:schemeClr val="bg1">
                    <a:alpha val="40000"/>
                  </a:schemeClr>
                </a:outerShdw>
              </a:effectLst>
            </c:spPr>
            <c:extLst>
              <c:ext xmlns:c16="http://schemas.microsoft.com/office/drawing/2014/chart" uri="{C3380CC4-5D6E-409C-BE32-E72D297353CC}">
                <c16:uniqueId val="{0000000C-7EAE-40C8-A95A-C3D91D8269E5}"/>
              </c:ext>
            </c:extLst>
          </c:dPt>
          <c:dPt>
            <c:idx val="2"/>
            <c:bubble3D val="0"/>
            <c:spPr>
              <a:noFill/>
              <a:ln w="19050">
                <a:noFill/>
              </a:ln>
              <a:effectLst/>
            </c:spPr>
            <c:extLst>
              <c:ext xmlns:c16="http://schemas.microsoft.com/office/drawing/2014/chart" uri="{C3380CC4-5D6E-409C-BE32-E72D297353CC}">
                <c16:uniqueId val="{0000000A-7EAE-40C8-A95A-C3D91D8269E5}"/>
              </c:ext>
            </c:extLst>
          </c:dPt>
          <c:val>
            <c:numRef>
              <c:f>'Pivot Tables'!$I$22:$K$22</c:f>
              <c:numCache>
                <c:formatCode>General</c:formatCode>
                <c:ptCount val="3"/>
                <c:pt idx="0" formatCode="0.00">
                  <c:v>0.74947257877027906</c:v>
                </c:pt>
                <c:pt idx="1">
                  <c:v>0.01</c:v>
                </c:pt>
                <c:pt idx="2" formatCode="0.00">
                  <c:v>1.240527421229721</c:v>
                </c:pt>
              </c:numCache>
            </c:numRef>
          </c:val>
          <c:extLst>
            <c:ext xmlns:c16="http://schemas.microsoft.com/office/drawing/2014/chart" uri="{C3380CC4-5D6E-409C-BE32-E72D297353CC}">
              <c16:uniqueId val="{00000009-7EAE-40C8-A95A-C3D91D8269E5}"/>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marL="0" indent="0" algn="l">
        <a:defRPr lang="en-US" sz="1400" b="1">
          <a:solidFill>
            <a:schemeClr val="lt1"/>
          </a:solidFill>
          <a:latin typeface="+mn-lt"/>
          <a:ea typeface="+mn-ea"/>
          <a:cs typeface="+mn-cs"/>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238125</xdr:colOff>
      <xdr:row>0</xdr:row>
      <xdr:rowOff>0</xdr:rowOff>
    </xdr:from>
    <xdr:to>
      <xdr:col>23</xdr:col>
      <xdr:colOff>542925</xdr:colOff>
      <xdr:row>33</xdr:row>
      <xdr:rowOff>66675</xdr:rowOff>
    </xdr:to>
    <xdr:sp macro="" textlink="">
      <xdr:nvSpPr>
        <xdr:cNvPr id="2" name="Rectangle: Rounded Corners 1">
          <a:extLst>
            <a:ext uri="{FF2B5EF4-FFF2-40B4-BE49-F238E27FC236}">
              <a16:creationId xmlns:a16="http://schemas.microsoft.com/office/drawing/2014/main" id="{3CFC97B7-BDB1-D410-0FC8-B0B0BA494F88}"/>
            </a:ext>
          </a:extLst>
        </xdr:cNvPr>
        <xdr:cNvSpPr/>
      </xdr:nvSpPr>
      <xdr:spPr>
        <a:xfrm>
          <a:off x="238125" y="0"/>
          <a:ext cx="14325600" cy="6173561"/>
        </a:xfrm>
        <a:prstGeom prst="roundRect">
          <a:avLst>
            <a:gd name="adj" fmla="val 3890"/>
          </a:avLst>
        </a:prstGeom>
        <a:solidFill>
          <a:srgbClr val="121526"/>
        </a:solidFill>
        <a:ln>
          <a:noFill/>
        </a:ln>
        <a:effectLst>
          <a:outerShdw blurRad="63500" sx="102000" sy="102000" algn="ctr" rotWithShape="0">
            <a:prstClr val="black">
              <a:alpha val="6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15</xdr:col>
      <xdr:colOff>409576</xdr:colOff>
      <xdr:row>1</xdr:row>
      <xdr:rowOff>0</xdr:rowOff>
    </xdr:from>
    <xdr:to>
      <xdr:col>23</xdr:col>
      <xdr:colOff>485776</xdr:colOff>
      <xdr:row>16</xdr:row>
      <xdr:rowOff>156482</xdr:rowOff>
    </xdr:to>
    <xdr:sp macro="" textlink="">
      <xdr:nvSpPr>
        <xdr:cNvPr id="3" name="Rectangle: Rounded Corners 2">
          <a:extLst>
            <a:ext uri="{FF2B5EF4-FFF2-40B4-BE49-F238E27FC236}">
              <a16:creationId xmlns:a16="http://schemas.microsoft.com/office/drawing/2014/main" id="{C8E27AA8-E712-9034-612D-AEF62E78A01C}"/>
            </a:ext>
          </a:extLst>
        </xdr:cNvPr>
        <xdr:cNvSpPr/>
      </xdr:nvSpPr>
      <xdr:spPr>
        <a:xfrm>
          <a:off x="9553576" y="185057"/>
          <a:ext cx="4953000" cy="2932339"/>
        </a:xfrm>
        <a:prstGeom prst="roundRect">
          <a:avLst>
            <a:gd name="adj" fmla="val 8367"/>
          </a:avLst>
        </a:prstGeom>
        <a:solidFill>
          <a:srgbClr val="171C30"/>
        </a:solidFill>
        <a:ln>
          <a:noFill/>
        </a:ln>
        <a:effectLst>
          <a:outerShdw blurRad="63500" sx="102000" sy="102000" algn="ctr" rotWithShape="0">
            <a:prstClr val="black">
              <a:alpha val="6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15</xdr:col>
      <xdr:colOff>381001</xdr:colOff>
      <xdr:row>17</xdr:row>
      <xdr:rowOff>117019</xdr:rowOff>
    </xdr:from>
    <xdr:to>
      <xdr:col>23</xdr:col>
      <xdr:colOff>457201</xdr:colOff>
      <xdr:row>32</xdr:row>
      <xdr:rowOff>164643</xdr:rowOff>
    </xdr:to>
    <xdr:sp macro="" textlink="">
      <xdr:nvSpPr>
        <xdr:cNvPr id="5" name="Rectangle: Rounded Corners 4">
          <a:extLst>
            <a:ext uri="{FF2B5EF4-FFF2-40B4-BE49-F238E27FC236}">
              <a16:creationId xmlns:a16="http://schemas.microsoft.com/office/drawing/2014/main" id="{D1643DC0-FFEF-F2C6-FCD6-23E5D8BD7F84}"/>
            </a:ext>
          </a:extLst>
        </xdr:cNvPr>
        <xdr:cNvSpPr/>
      </xdr:nvSpPr>
      <xdr:spPr>
        <a:xfrm>
          <a:off x="9525001" y="3262990"/>
          <a:ext cx="4953000" cy="2823482"/>
        </a:xfrm>
        <a:prstGeom prst="roundRect">
          <a:avLst>
            <a:gd name="adj" fmla="val 9910"/>
          </a:avLst>
        </a:prstGeom>
        <a:solidFill>
          <a:srgbClr val="171C30"/>
        </a:solidFill>
        <a:ln>
          <a:noFill/>
        </a:ln>
        <a:effectLst>
          <a:outerShdw blurRad="63500" sx="102000" sy="102000" algn="ctr" rotWithShape="0">
            <a:prstClr val="black">
              <a:alpha val="6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400049</xdr:colOff>
      <xdr:row>23</xdr:row>
      <xdr:rowOff>63949</xdr:rowOff>
    </xdr:from>
    <xdr:to>
      <xdr:col>15</xdr:col>
      <xdr:colOff>171450</xdr:colOff>
      <xdr:row>33</xdr:row>
      <xdr:rowOff>21768</xdr:rowOff>
    </xdr:to>
    <xdr:sp macro="" textlink="">
      <xdr:nvSpPr>
        <xdr:cNvPr id="6" name="Rectangle: Rounded Corners 5">
          <a:extLst>
            <a:ext uri="{FF2B5EF4-FFF2-40B4-BE49-F238E27FC236}">
              <a16:creationId xmlns:a16="http://schemas.microsoft.com/office/drawing/2014/main" id="{57666BC2-CD7A-42B8-14CF-49AFFD0D331E}"/>
            </a:ext>
          </a:extLst>
        </xdr:cNvPr>
        <xdr:cNvSpPr/>
      </xdr:nvSpPr>
      <xdr:spPr>
        <a:xfrm>
          <a:off x="5886449" y="4320263"/>
          <a:ext cx="3429001" cy="1808391"/>
        </a:xfrm>
        <a:prstGeom prst="roundRect">
          <a:avLst>
            <a:gd name="adj" fmla="val 13188"/>
          </a:avLst>
        </a:prstGeom>
        <a:solidFill>
          <a:srgbClr val="171C30"/>
        </a:solidFill>
        <a:ln>
          <a:noFill/>
        </a:ln>
        <a:effectLst>
          <a:outerShdw blurRad="63500" sx="102000" sy="102000" algn="ctr" rotWithShape="0">
            <a:prstClr val="black">
              <a:alpha val="6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476247</xdr:colOff>
      <xdr:row>23</xdr:row>
      <xdr:rowOff>63949</xdr:rowOff>
    </xdr:from>
    <xdr:to>
      <xdr:col>9</xdr:col>
      <xdr:colOff>247648</xdr:colOff>
      <xdr:row>32</xdr:row>
      <xdr:rowOff>178249</xdr:rowOff>
    </xdr:to>
    <xdr:sp macro="" textlink="">
      <xdr:nvSpPr>
        <xdr:cNvPr id="7" name="Rectangle: Rounded Corners 6">
          <a:extLst>
            <a:ext uri="{FF2B5EF4-FFF2-40B4-BE49-F238E27FC236}">
              <a16:creationId xmlns:a16="http://schemas.microsoft.com/office/drawing/2014/main" id="{98983D43-4243-5A46-52F0-F37ED795917D}"/>
            </a:ext>
          </a:extLst>
        </xdr:cNvPr>
        <xdr:cNvSpPr/>
      </xdr:nvSpPr>
      <xdr:spPr>
        <a:xfrm>
          <a:off x="2305047" y="4320263"/>
          <a:ext cx="3429001" cy="1779815"/>
        </a:xfrm>
        <a:prstGeom prst="roundRect">
          <a:avLst>
            <a:gd name="adj" fmla="val 14431"/>
          </a:avLst>
        </a:prstGeom>
        <a:solidFill>
          <a:srgbClr val="171C30"/>
        </a:solidFill>
        <a:ln>
          <a:noFill/>
        </a:ln>
        <a:effectLst>
          <a:outerShdw blurRad="63500" sx="102000" sy="102000" algn="ctr" rotWithShape="0">
            <a:prstClr val="black">
              <a:alpha val="6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330653</xdr:colOff>
      <xdr:row>0</xdr:row>
      <xdr:rowOff>102048</xdr:rowOff>
    </xdr:from>
    <xdr:to>
      <xdr:col>3</xdr:col>
      <xdr:colOff>311603</xdr:colOff>
      <xdr:row>33</xdr:row>
      <xdr:rowOff>31293</xdr:rowOff>
    </xdr:to>
    <xdr:sp macro="" textlink="">
      <xdr:nvSpPr>
        <xdr:cNvPr id="8" name="Rectangle: Rounded Corners 7">
          <a:extLst>
            <a:ext uri="{FF2B5EF4-FFF2-40B4-BE49-F238E27FC236}">
              <a16:creationId xmlns:a16="http://schemas.microsoft.com/office/drawing/2014/main" id="{22816C6B-7DCD-6E44-2AFE-8F85DFF2B999}"/>
            </a:ext>
          </a:extLst>
        </xdr:cNvPr>
        <xdr:cNvSpPr/>
      </xdr:nvSpPr>
      <xdr:spPr>
        <a:xfrm>
          <a:off x="330653" y="102048"/>
          <a:ext cx="1809750" cy="6036131"/>
        </a:xfrm>
        <a:prstGeom prst="roundRect">
          <a:avLst>
            <a:gd name="adj" fmla="val 12469"/>
          </a:avLst>
        </a:prstGeom>
        <a:solidFill>
          <a:srgbClr val="171C30"/>
        </a:solidFill>
        <a:ln>
          <a:noFill/>
        </a:ln>
        <a:effectLst>
          <a:outerShdw blurRad="63500" sx="102000" sy="102000" algn="ctr" rotWithShape="0">
            <a:prstClr val="black">
              <a:alpha val="6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495301</xdr:colOff>
      <xdr:row>10</xdr:row>
      <xdr:rowOff>156479</xdr:rowOff>
    </xdr:from>
    <xdr:to>
      <xdr:col>15</xdr:col>
      <xdr:colOff>200025</xdr:colOff>
      <xdr:row>22</xdr:row>
      <xdr:rowOff>51703</xdr:rowOff>
    </xdr:to>
    <xdr:sp macro="" textlink="">
      <xdr:nvSpPr>
        <xdr:cNvPr id="9" name="Rectangle: Rounded Corners 8">
          <a:extLst>
            <a:ext uri="{FF2B5EF4-FFF2-40B4-BE49-F238E27FC236}">
              <a16:creationId xmlns:a16="http://schemas.microsoft.com/office/drawing/2014/main" id="{3FD21D12-5249-04E6-6AD6-0BEF402495B9}"/>
            </a:ext>
          </a:extLst>
        </xdr:cNvPr>
        <xdr:cNvSpPr/>
      </xdr:nvSpPr>
      <xdr:spPr>
        <a:xfrm>
          <a:off x="2324101" y="2007050"/>
          <a:ext cx="7019924" cy="2115910"/>
        </a:xfrm>
        <a:prstGeom prst="roundRect">
          <a:avLst>
            <a:gd name="adj" fmla="val 15569"/>
          </a:avLst>
        </a:prstGeom>
        <a:solidFill>
          <a:srgbClr val="171C30"/>
        </a:solidFill>
        <a:ln>
          <a:noFill/>
        </a:ln>
        <a:effectLst>
          <a:outerShdw blurRad="63500" sx="102000" sy="102000" algn="ctr" rotWithShape="0">
            <a:prstClr val="black">
              <a:alpha val="6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504825</xdr:colOff>
      <xdr:row>4</xdr:row>
      <xdr:rowOff>2718</xdr:rowOff>
    </xdr:from>
    <xdr:to>
      <xdr:col>7</xdr:col>
      <xdr:colOff>209550</xdr:colOff>
      <xdr:row>9</xdr:row>
      <xdr:rowOff>178250</xdr:rowOff>
    </xdr:to>
    <xdr:sp macro="" textlink="">
      <xdr:nvSpPr>
        <xdr:cNvPr id="10" name="Rectangle: Rounded Corners 9">
          <a:extLst>
            <a:ext uri="{FF2B5EF4-FFF2-40B4-BE49-F238E27FC236}">
              <a16:creationId xmlns:a16="http://schemas.microsoft.com/office/drawing/2014/main" id="{7DC11ECF-0016-04EB-3730-0ADA7E39C788}"/>
            </a:ext>
          </a:extLst>
        </xdr:cNvPr>
        <xdr:cNvSpPr/>
      </xdr:nvSpPr>
      <xdr:spPr>
        <a:xfrm>
          <a:off x="2333625" y="742947"/>
          <a:ext cx="2143125" cy="1100817"/>
        </a:xfrm>
        <a:prstGeom prst="roundRect">
          <a:avLst>
            <a:gd name="adj" fmla="val 17322"/>
          </a:avLst>
        </a:prstGeom>
        <a:solidFill>
          <a:srgbClr val="7030A0"/>
        </a:solidFill>
        <a:ln>
          <a:noFill/>
        </a:ln>
        <a:effectLst>
          <a:outerShdw blurRad="63500" sx="102000" sy="102000" algn="ctr" rotWithShape="0">
            <a:prstClr val="black">
              <a:alpha val="6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b="1"/>
            <a:t>Total</a:t>
          </a:r>
          <a:r>
            <a:rPr lang="en-GB" sz="1400" b="1"/>
            <a:t> </a:t>
          </a:r>
          <a:r>
            <a:rPr lang="en-GB" sz="1600" b="1"/>
            <a:t>Revenue</a:t>
          </a:r>
          <a:endParaRPr lang="en-NG" sz="1400" b="1"/>
        </a:p>
      </xdr:txBody>
    </xdr:sp>
    <xdr:clientData/>
  </xdr:twoCellAnchor>
  <xdr:twoCellAnchor>
    <xdr:from>
      <xdr:col>7</xdr:col>
      <xdr:colOff>357188</xdr:colOff>
      <xdr:row>4</xdr:row>
      <xdr:rowOff>21768</xdr:rowOff>
    </xdr:from>
    <xdr:to>
      <xdr:col>11</xdr:col>
      <xdr:colOff>252413</xdr:colOff>
      <xdr:row>10</xdr:row>
      <xdr:rowOff>12243</xdr:rowOff>
    </xdr:to>
    <xdr:sp macro="" textlink="">
      <xdr:nvSpPr>
        <xdr:cNvPr id="11" name="Rectangle: Rounded Corners 10">
          <a:extLst>
            <a:ext uri="{FF2B5EF4-FFF2-40B4-BE49-F238E27FC236}">
              <a16:creationId xmlns:a16="http://schemas.microsoft.com/office/drawing/2014/main" id="{BC30FA3D-72A0-C9F4-81CC-6A6BEF40CDB7}"/>
            </a:ext>
          </a:extLst>
        </xdr:cNvPr>
        <xdr:cNvSpPr/>
      </xdr:nvSpPr>
      <xdr:spPr>
        <a:xfrm>
          <a:off x="4624388" y="761997"/>
          <a:ext cx="2333625" cy="1100817"/>
        </a:xfrm>
        <a:prstGeom prst="roundRect">
          <a:avLst>
            <a:gd name="adj" fmla="val 18207"/>
          </a:avLst>
        </a:prstGeom>
        <a:solidFill>
          <a:srgbClr val="7030A0"/>
        </a:solidFill>
        <a:ln>
          <a:noFill/>
        </a:ln>
        <a:effectLst>
          <a:outerShdw blurRad="63500" sx="102000" sy="102000" algn="ctr" rotWithShape="0">
            <a:prstClr val="black">
              <a:alpha val="6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600" b="1">
              <a:solidFill>
                <a:schemeClr val="lt1"/>
              </a:solidFill>
              <a:latin typeface="+mn-lt"/>
              <a:ea typeface="+mn-ea"/>
              <a:cs typeface="+mn-cs"/>
            </a:rPr>
            <a:t>Total Sales</a:t>
          </a:r>
          <a:endParaRPr lang="en-NG" sz="1600" b="1">
            <a:solidFill>
              <a:schemeClr val="lt1"/>
            </a:solidFill>
            <a:latin typeface="+mn-lt"/>
            <a:ea typeface="+mn-ea"/>
            <a:cs typeface="+mn-cs"/>
          </a:endParaRPr>
        </a:p>
      </xdr:txBody>
    </xdr:sp>
    <xdr:clientData/>
  </xdr:twoCellAnchor>
  <xdr:twoCellAnchor>
    <xdr:from>
      <xdr:col>11</xdr:col>
      <xdr:colOff>400050</xdr:colOff>
      <xdr:row>4</xdr:row>
      <xdr:rowOff>40818</xdr:rowOff>
    </xdr:from>
    <xdr:to>
      <xdr:col>15</xdr:col>
      <xdr:colOff>219075</xdr:colOff>
      <xdr:row>10</xdr:row>
      <xdr:rowOff>31293</xdr:rowOff>
    </xdr:to>
    <xdr:sp macro="" textlink="">
      <xdr:nvSpPr>
        <xdr:cNvPr id="12" name="Rectangle: Rounded Corners 11">
          <a:extLst>
            <a:ext uri="{FF2B5EF4-FFF2-40B4-BE49-F238E27FC236}">
              <a16:creationId xmlns:a16="http://schemas.microsoft.com/office/drawing/2014/main" id="{BAF33C54-A1EE-6417-B148-DA0B0AA34499}"/>
            </a:ext>
          </a:extLst>
        </xdr:cNvPr>
        <xdr:cNvSpPr/>
      </xdr:nvSpPr>
      <xdr:spPr>
        <a:xfrm>
          <a:off x="7105650" y="781047"/>
          <a:ext cx="2257425" cy="1100817"/>
        </a:xfrm>
        <a:prstGeom prst="roundRect">
          <a:avLst>
            <a:gd name="adj" fmla="val 16437"/>
          </a:avLst>
        </a:prstGeom>
        <a:solidFill>
          <a:srgbClr val="7030A0"/>
        </a:solidFill>
        <a:ln>
          <a:noFill/>
        </a:ln>
        <a:effectLst>
          <a:outerShdw blurRad="63500" sx="102000" sy="102000" algn="ctr" rotWithShape="0">
            <a:prstClr val="black">
              <a:alpha val="6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600" b="1">
              <a:solidFill>
                <a:schemeClr val="lt1"/>
              </a:solidFill>
              <a:latin typeface="+mn-lt"/>
              <a:ea typeface="+mn-ea"/>
              <a:cs typeface="+mn-cs"/>
            </a:rPr>
            <a:t>Average Call Time (H)</a:t>
          </a:r>
          <a:endParaRPr lang="en-NG" sz="1600" b="1">
            <a:solidFill>
              <a:schemeClr val="lt1"/>
            </a:solidFill>
            <a:latin typeface="+mn-lt"/>
            <a:ea typeface="+mn-ea"/>
            <a:cs typeface="+mn-cs"/>
          </a:endParaRPr>
        </a:p>
      </xdr:txBody>
    </xdr:sp>
    <xdr:clientData/>
  </xdr:twoCellAnchor>
  <xdr:oneCellAnchor>
    <xdr:from>
      <xdr:col>3</xdr:col>
      <xdr:colOff>476251</xdr:colOff>
      <xdr:row>0</xdr:row>
      <xdr:rowOff>50297</xdr:rowOff>
    </xdr:from>
    <xdr:ext cx="5400674" cy="654552"/>
    <xdr:sp macro="" textlink="">
      <xdr:nvSpPr>
        <xdr:cNvPr id="13" name="Rectangle 12">
          <a:extLst>
            <a:ext uri="{FF2B5EF4-FFF2-40B4-BE49-F238E27FC236}">
              <a16:creationId xmlns:a16="http://schemas.microsoft.com/office/drawing/2014/main" id="{B34F38AC-E395-C797-A2B9-05691288040F}"/>
            </a:ext>
          </a:extLst>
        </xdr:cNvPr>
        <xdr:cNvSpPr/>
      </xdr:nvSpPr>
      <xdr:spPr>
        <a:xfrm>
          <a:off x="2305051" y="50297"/>
          <a:ext cx="5400674" cy="654552"/>
        </a:xfrm>
        <a:prstGeom prst="rect">
          <a:avLst/>
        </a:prstGeom>
        <a:noFill/>
      </xdr:spPr>
      <xdr:txBody>
        <a:bodyPr wrap="square" lIns="91440" tIns="45720" rIns="91440" bIns="45720">
          <a:noAutofit/>
        </a:bodyPr>
        <a:lstStyle/>
        <a:p>
          <a:pPr algn="l"/>
          <a:r>
            <a:rPr lang="en-US" sz="40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rPr>
            <a:t>SWIFT CART HUB</a:t>
          </a:r>
        </a:p>
      </xdr:txBody>
    </xdr:sp>
    <xdr:clientData/>
  </xdr:oneCellAnchor>
  <xdr:twoCellAnchor editAs="oneCell">
    <xdr:from>
      <xdr:col>0</xdr:col>
      <xdr:colOff>427264</xdr:colOff>
      <xdr:row>1</xdr:row>
      <xdr:rowOff>9525</xdr:rowOff>
    </xdr:from>
    <xdr:to>
      <xdr:col>3</xdr:col>
      <xdr:colOff>235550</xdr:colOff>
      <xdr:row>8</xdr:row>
      <xdr:rowOff>51706</xdr:rowOff>
    </xdr:to>
    <xdr:pic>
      <xdr:nvPicPr>
        <xdr:cNvPr id="15" name="Picture 14">
          <a:extLst>
            <a:ext uri="{FF2B5EF4-FFF2-40B4-BE49-F238E27FC236}">
              <a16:creationId xmlns:a16="http://schemas.microsoft.com/office/drawing/2014/main" id="{BDF6B558-B945-9D2E-9E93-EFCCD50690F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6914" t="2418" r="14692" b="2557"/>
        <a:stretch>
          <a:fillRect/>
        </a:stretch>
      </xdr:blipFill>
      <xdr:spPr>
        <a:xfrm>
          <a:off x="427264" y="194582"/>
          <a:ext cx="1637086" cy="1337581"/>
        </a:xfrm>
        <a:prstGeom prst="rect">
          <a:avLst/>
        </a:prstGeom>
      </xdr:spPr>
    </xdr:pic>
    <xdr:clientData/>
  </xdr:twoCellAnchor>
  <xdr:twoCellAnchor>
    <xdr:from>
      <xdr:col>3</xdr:col>
      <xdr:colOff>495300</xdr:colOff>
      <xdr:row>10</xdr:row>
      <xdr:rowOff>178251</xdr:rowOff>
    </xdr:from>
    <xdr:to>
      <xdr:col>15</xdr:col>
      <xdr:colOff>200025</xdr:colOff>
      <xdr:row>22</xdr:row>
      <xdr:rowOff>63950</xdr:rowOff>
    </xdr:to>
    <xdr:graphicFrame macro="">
      <xdr:nvGraphicFramePr>
        <xdr:cNvPr id="17" name="Chart 16">
          <a:extLst>
            <a:ext uri="{FF2B5EF4-FFF2-40B4-BE49-F238E27FC236}">
              <a16:creationId xmlns:a16="http://schemas.microsoft.com/office/drawing/2014/main" id="{A294ACC2-CF66-4D43-A55E-8918CC6D19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476250</xdr:colOff>
      <xdr:row>1</xdr:row>
      <xdr:rowOff>8160</xdr:rowOff>
    </xdr:from>
    <xdr:to>
      <xdr:col>23</xdr:col>
      <xdr:colOff>438150</xdr:colOff>
      <xdr:row>15</xdr:row>
      <xdr:rowOff>183692</xdr:rowOff>
    </xdr:to>
    <xdr:graphicFrame macro="">
      <xdr:nvGraphicFramePr>
        <xdr:cNvPr id="19" name="Chart 18">
          <a:extLst>
            <a:ext uri="{FF2B5EF4-FFF2-40B4-BE49-F238E27FC236}">
              <a16:creationId xmlns:a16="http://schemas.microsoft.com/office/drawing/2014/main" id="{81C86B64-1597-4EC5-93B1-9F98A4DA1C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544286</xdr:colOff>
      <xdr:row>23</xdr:row>
      <xdr:rowOff>76200</xdr:rowOff>
    </xdr:from>
    <xdr:to>
      <xdr:col>9</xdr:col>
      <xdr:colOff>185057</xdr:colOff>
      <xdr:row>33</xdr:row>
      <xdr:rowOff>97971</xdr:rowOff>
    </xdr:to>
    <xdr:graphicFrame macro="">
      <xdr:nvGraphicFramePr>
        <xdr:cNvPr id="21" name="Chart 20">
          <a:extLst>
            <a:ext uri="{FF2B5EF4-FFF2-40B4-BE49-F238E27FC236}">
              <a16:creationId xmlns:a16="http://schemas.microsoft.com/office/drawing/2014/main" id="{C16BCEBE-BB57-4F81-825C-6296A3A2B1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381001</xdr:colOff>
      <xdr:row>17</xdr:row>
      <xdr:rowOff>141515</xdr:rowOff>
    </xdr:from>
    <xdr:to>
      <xdr:col>23</xdr:col>
      <xdr:colOff>337457</xdr:colOff>
      <xdr:row>32</xdr:row>
      <xdr:rowOff>76200</xdr:rowOff>
    </xdr:to>
    <xdr:graphicFrame macro="">
      <xdr:nvGraphicFramePr>
        <xdr:cNvPr id="23" name="Chart 22">
          <a:extLst>
            <a:ext uri="{FF2B5EF4-FFF2-40B4-BE49-F238E27FC236}">
              <a16:creationId xmlns:a16="http://schemas.microsoft.com/office/drawing/2014/main" id="{AF68E2A0-B24C-4CCE-9445-09DE1B5FA0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370114</xdr:colOff>
      <xdr:row>22</xdr:row>
      <xdr:rowOff>108857</xdr:rowOff>
    </xdr:from>
    <xdr:to>
      <xdr:col>16</xdr:col>
      <xdr:colOff>65314</xdr:colOff>
      <xdr:row>37</xdr:row>
      <xdr:rowOff>76200</xdr:rowOff>
    </xdr:to>
    <xdr:graphicFrame macro="">
      <xdr:nvGraphicFramePr>
        <xdr:cNvPr id="24" name="Chart 23">
          <a:extLst>
            <a:ext uri="{FF2B5EF4-FFF2-40B4-BE49-F238E27FC236}">
              <a16:creationId xmlns:a16="http://schemas.microsoft.com/office/drawing/2014/main" id="{6F784937-028C-7079-BB5A-F8440862ED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174171</xdr:colOff>
      <xdr:row>30</xdr:row>
      <xdr:rowOff>32660</xdr:rowOff>
    </xdr:from>
    <xdr:to>
      <xdr:col>13</xdr:col>
      <xdr:colOff>257174</xdr:colOff>
      <xdr:row>32</xdr:row>
      <xdr:rowOff>163285</xdr:rowOff>
    </xdr:to>
    <xdr:sp macro="" textlink="">
      <xdr:nvSpPr>
        <xdr:cNvPr id="25" name="Rectangle: Rounded Corners 24">
          <a:extLst>
            <a:ext uri="{FF2B5EF4-FFF2-40B4-BE49-F238E27FC236}">
              <a16:creationId xmlns:a16="http://schemas.microsoft.com/office/drawing/2014/main" id="{8AEC2877-2A68-AF5C-CC4E-86C48A41C5FD}"/>
            </a:ext>
          </a:extLst>
        </xdr:cNvPr>
        <xdr:cNvSpPr/>
      </xdr:nvSpPr>
      <xdr:spPr>
        <a:xfrm>
          <a:off x="6879771" y="5584374"/>
          <a:ext cx="1302203" cy="500740"/>
        </a:xfrm>
        <a:prstGeom prst="roundRect">
          <a:avLst>
            <a:gd name="adj" fmla="val 12469"/>
          </a:avLst>
        </a:prstGeom>
        <a:solidFill>
          <a:srgbClr val="171C30"/>
        </a:solidFill>
        <a:ln>
          <a:solidFill>
            <a:schemeClr val="tx1"/>
          </a:solid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54427</xdr:colOff>
      <xdr:row>29</xdr:row>
      <xdr:rowOff>97971</xdr:rowOff>
    </xdr:from>
    <xdr:to>
      <xdr:col>12</xdr:col>
      <xdr:colOff>326569</xdr:colOff>
      <xdr:row>31</xdr:row>
      <xdr:rowOff>0</xdr:rowOff>
    </xdr:to>
    <xdr:sp macro="" textlink="">
      <xdr:nvSpPr>
        <xdr:cNvPr id="26" name="Oval 25">
          <a:extLst>
            <a:ext uri="{FF2B5EF4-FFF2-40B4-BE49-F238E27FC236}">
              <a16:creationId xmlns:a16="http://schemas.microsoft.com/office/drawing/2014/main" id="{01E0F1F4-C558-6E05-4672-1F38C07E637C}"/>
            </a:ext>
          </a:extLst>
        </xdr:cNvPr>
        <xdr:cNvSpPr/>
      </xdr:nvSpPr>
      <xdr:spPr>
        <a:xfrm>
          <a:off x="7369627" y="5464628"/>
          <a:ext cx="272142" cy="272143"/>
        </a:xfrm>
        <a:prstGeom prst="ellipse">
          <a:avLst/>
        </a:prstGeom>
        <a:solidFill>
          <a:srgbClr val="171C30"/>
        </a:solidFill>
        <a:ln>
          <a:solidFill>
            <a:schemeClr val="tx1"/>
          </a:solidFill>
        </a:ln>
        <a:effectLst>
          <a:outerShdw blurRad="63500" sx="102000" sy="102000" algn="ctr" rotWithShape="0">
            <a:prstClr val="black">
              <a:alpha val="6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12</xdr:col>
      <xdr:colOff>141512</xdr:colOff>
      <xdr:row>29</xdr:row>
      <xdr:rowOff>174169</xdr:rowOff>
    </xdr:from>
    <xdr:to>
      <xdr:col>12</xdr:col>
      <xdr:colOff>239485</xdr:colOff>
      <xdr:row>30</xdr:row>
      <xdr:rowOff>108857</xdr:rowOff>
    </xdr:to>
    <xdr:sp macro="" textlink="">
      <xdr:nvSpPr>
        <xdr:cNvPr id="27" name="Oval 26">
          <a:extLst>
            <a:ext uri="{FF2B5EF4-FFF2-40B4-BE49-F238E27FC236}">
              <a16:creationId xmlns:a16="http://schemas.microsoft.com/office/drawing/2014/main" id="{01D6EF44-FE08-04F9-35EA-06FD9A34257A}"/>
            </a:ext>
          </a:extLst>
        </xdr:cNvPr>
        <xdr:cNvSpPr/>
      </xdr:nvSpPr>
      <xdr:spPr>
        <a:xfrm>
          <a:off x="7456712" y="5540826"/>
          <a:ext cx="97973" cy="119745"/>
        </a:xfrm>
        <a:prstGeom prst="ellipse">
          <a:avLst/>
        </a:prstGeom>
        <a:solidFill>
          <a:schemeClr val="bg2">
            <a:lumMod val="75000"/>
          </a:schemeClr>
        </a:solidFill>
        <a:ln>
          <a:noFill/>
        </a:ln>
        <a:effectLst>
          <a:outerShdw blurRad="63500" sx="102000" sy="102000" algn="ctr" rotWithShape="0">
            <a:prstClr val="black">
              <a:alpha val="6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oneCellAnchor>
    <xdr:from>
      <xdr:col>4</xdr:col>
      <xdr:colOff>185059</xdr:colOff>
      <xdr:row>6</xdr:row>
      <xdr:rowOff>5437</xdr:rowOff>
    </xdr:from>
    <xdr:ext cx="1550040" cy="718466"/>
    <xdr:sp macro="" textlink="'Pivot Tables'!$A$4">
      <xdr:nvSpPr>
        <xdr:cNvPr id="28" name="TextBox 27">
          <a:extLst>
            <a:ext uri="{FF2B5EF4-FFF2-40B4-BE49-F238E27FC236}">
              <a16:creationId xmlns:a16="http://schemas.microsoft.com/office/drawing/2014/main" id="{5B7388C7-B1AA-AB13-D452-0A83B5988EB9}"/>
            </a:ext>
          </a:extLst>
        </xdr:cNvPr>
        <xdr:cNvSpPr txBox="1"/>
      </xdr:nvSpPr>
      <xdr:spPr>
        <a:xfrm>
          <a:off x="2623459" y="1115780"/>
          <a:ext cx="1550040"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E009007-48B3-4FF0-92C6-DE782AB1F37E}" type="TxLink">
            <a:rPr lang="en-US" sz="4000" b="1" i="0" u="none" strike="noStrike">
              <a:solidFill>
                <a:schemeClr val="bg1">
                  <a:lumMod val="95000"/>
                </a:schemeClr>
              </a:solidFill>
              <a:latin typeface="Calibri"/>
              <a:ea typeface="Calibri"/>
              <a:cs typeface="Calibri"/>
            </a:rPr>
            <a:pPr/>
            <a:t>$8.7M</a:t>
          </a:fld>
          <a:endParaRPr lang="en-NG" sz="4000" b="1">
            <a:solidFill>
              <a:schemeClr val="bg1">
                <a:lumMod val="95000"/>
              </a:schemeClr>
            </a:solidFill>
          </a:endParaRPr>
        </a:p>
      </xdr:txBody>
    </xdr:sp>
    <xdr:clientData/>
  </xdr:oneCellAnchor>
  <xdr:oneCellAnchor>
    <xdr:from>
      <xdr:col>8</xdr:col>
      <xdr:colOff>489246</xdr:colOff>
      <xdr:row>6</xdr:row>
      <xdr:rowOff>5437</xdr:rowOff>
    </xdr:from>
    <xdr:ext cx="1224694" cy="718466"/>
    <xdr:sp macro="" textlink="'Pivot Tables'!$B$4">
      <xdr:nvSpPr>
        <xdr:cNvPr id="29" name="TextBox 28">
          <a:extLst>
            <a:ext uri="{FF2B5EF4-FFF2-40B4-BE49-F238E27FC236}">
              <a16:creationId xmlns:a16="http://schemas.microsoft.com/office/drawing/2014/main" id="{DE3F0760-7199-2B20-9A83-42426F43E752}"/>
            </a:ext>
          </a:extLst>
        </xdr:cNvPr>
        <xdr:cNvSpPr txBox="1"/>
      </xdr:nvSpPr>
      <xdr:spPr>
        <a:xfrm>
          <a:off x="5366046" y="1115780"/>
          <a:ext cx="1224694"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CBA87E1B-09C7-4D6B-BF27-2E0EBF9237F6}" type="TxLink">
            <a:rPr lang="en-US" sz="4000" b="1" i="0" u="none" strike="noStrike">
              <a:solidFill>
                <a:schemeClr val="bg1">
                  <a:lumMod val="95000"/>
                </a:schemeClr>
              </a:solidFill>
              <a:latin typeface="Calibri"/>
              <a:ea typeface="Calibri"/>
              <a:cs typeface="Calibri"/>
            </a:rPr>
            <a:pPr marL="0" indent="0"/>
            <a:t>2739</a:t>
          </a:fld>
          <a:endParaRPr lang="en-NG" sz="4000" b="1" i="0" u="none" strike="noStrike">
            <a:solidFill>
              <a:schemeClr val="bg1">
                <a:lumMod val="95000"/>
              </a:schemeClr>
            </a:solidFill>
            <a:latin typeface="Calibri"/>
            <a:ea typeface="Calibri"/>
            <a:cs typeface="Calibri"/>
          </a:endParaRPr>
        </a:p>
      </xdr:txBody>
    </xdr:sp>
    <xdr:clientData/>
  </xdr:oneCellAnchor>
  <xdr:oneCellAnchor>
    <xdr:from>
      <xdr:col>12</xdr:col>
      <xdr:colOff>468087</xdr:colOff>
      <xdr:row>6</xdr:row>
      <xdr:rowOff>5437</xdr:rowOff>
    </xdr:from>
    <xdr:ext cx="841705" cy="718466"/>
    <xdr:sp macro="" textlink="'Pivot Tables'!$C$4">
      <xdr:nvSpPr>
        <xdr:cNvPr id="30" name="TextBox 29">
          <a:extLst>
            <a:ext uri="{FF2B5EF4-FFF2-40B4-BE49-F238E27FC236}">
              <a16:creationId xmlns:a16="http://schemas.microsoft.com/office/drawing/2014/main" id="{AD7ECA25-38EF-64AB-FF99-4B8BBC0BA4B9}"/>
            </a:ext>
          </a:extLst>
        </xdr:cNvPr>
        <xdr:cNvSpPr txBox="1"/>
      </xdr:nvSpPr>
      <xdr:spPr>
        <a:xfrm>
          <a:off x="7783287" y="1115780"/>
          <a:ext cx="841705"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D8DD9807-68FE-4BDB-BF2D-2970A1AD4C76}" type="TxLink">
            <a:rPr lang="en-US" sz="4000" b="1" i="0" u="none" strike="noStrike">
              <a:solidFill>
                <a:schemeClr val="bg1">
                  <a:lumMod val="95000"/>
                </a:schemeClr>
              </a:solidFill>
              <a:latin typeface="Calibri"/>
              <a:ea typeface="Calibri"/>
              <a:cs typeface="Calibri"/>
            </a:rPr>
            <a:pPr marL="0" indent="0"/>
            <a:t>7.7</a:t>
          </a:fld>
          <a:endParaRPr lang="en-NG" sz="4000" b="1" i="0" u="none" strike="noStrike">
            <a:solidFill>
              <a:schemeClr val="bg1">
                <a:lumMod val="95000"/>
              </a:schemeClr>
            </a:solidFill>
            <a:latin typeface="Calibri"/>
            <a:ea typeface="Calibri"/>
            <a:cs typeface="Calibri"/>
          </a:endParaRPr>
        </a:p>
      </xdr:txBody>
    </xdr:sp>
    <xdr:clientData/>
  </xdr:oneCellAnchor>
  <xdr:oneCellAnchor>
    <xdr:from>
      <xdr:col>11</xdr:col>
      <xdr:colOff>478976</xdr:colOff>
      <xdr:row>30</xdr:row>
      <xdr:rowOff>136070</xdr:rowOff>
    </xdr:from>
    <xdr:ext cx="730393" cy="408218"/>
    <xdr:sp macro="" textlink="'Pivot Tables'!$I$22">
      <xdr:nvSpPr>
        <xdr:cNvPr id="31" name="TextBox 30">
          <a:extLst>
            <a:ext uri="{FF2B5EF4-FFF2-40B4-BE49-F238E27FC236}">
              <a16:creationId xmlns:a16="http://schemas.microsoft.com/office/drawing/2014/main" id="{D426C227-6351-6F6A-E715-400164F455D5}"/>
            </a:ext>
          </a:extLst>
        </xdr:cNvPr>
        <xdr:cNvSpPr txBox="1"/>
      </xdr:nvSpPr>
      <xdr:spPr>
        <a:xfrm>
          <a:off x="7184576" y="5687784"/>
          <a:ext cx="730393" cy="4082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77FBBA95-B458-4894-8EA6-ADADFCAEB5EB}" type="TxLink">
            <a:rPr lang="en-US" sz="2300" b="0" i="0" u="none" strike="noStrike">
              <a:solidFill>
                <a:schemeClr val="tx2">
                  <a:lumMod val="60000"/>
                  <a:lumOff val="40000"/>
                </a:schemeClr>
              </a:solidFill>
              <a:latin typeface="Calibri"/>
              <a:ea typeface="Calibri"/>
              <a:cs typeface="Calibri"/>
            </a:rPr>
            <a:pPr marL="0" indent="0"/>
            <a:t>0.75</a:t>
          </a:fld>
          <a:endParaRPr lang="en-NG" sz="2300" b="1" i="0" u="none" strike="noStrike">
            <a:solidFill>
              <a:schemeClr val="tx2">
                <a:lumMod val="60000"/>
                <a:lumOff val="40000"/>
              </a:schemeClr>
            </a:solidFill>
            <a:latin typeface="Calibri"/>
            <a:ea typeface="Calibri"/>
            <a:cs typeface="Calibri"/>
          </a:endParaRPr>
        </a:p>
      </xdr:txBody>
    </xdr:sp>
    <xdr:clientData/>
  </xdr:oneCellAnchor>
  <xdr:oneCellAnchor>
    <xdr:from>
      <xdr:col>4</xdr:col>
      <xdr:colOff>185057</xdr:colOff>
      <xdr:row>10</xdr:row>
      <xdr:rowOff>174172</xdr:rowOff>
    </xdr:from>
    <xdr:ext cx="1649554" cy="264560"/>
    <xdr:sp macro="" textlink="">
      <xdr:nvSpPr>
        <xdr:cNvPr id="32" name="TextBox 31">
          <a:extLst>
            <a:ext uri="{FF2B5EF4-FFF2-40B4-BE49-F238E27FC236}">
              <a16:creationId xmlns:a16="http://schemas.microsoft.com/office/drawing/2014/main" id="{BEEF0A6B-CB62-5C3D-6D2B-FCC1B280A2E3}"/>
            </a:ext>
          </a:extLst>
        </xdr:cNvPr>
        <xdr:cNvSpPr txBox="1"/>
      </xdr:nvSpPr>
      <xdr:spPr>
        <a:xfrm>
          <a:off x="2623457" y="2024743"/>
          <a:ext cx="16495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solidFill>
                <a:schemeClr val="tx2">
                  <a:lumMod val="40000"/>
                  <a:lumOff val="60000"/>
                </a:schemeClr>
              </a:solidFill>
            </a:rPr>
            <a:t>Total Calls Vs Total Sales</a:t>
          </a:r>
          <a:endParaRPr lang="en-NG" sz="1100" b="1">
            <a:solidFill>
              <a:schemeClr val="tx2">
                <a:lumMod val="40000"/>
                <a:lumOff val="60000"/>
              </a:schemeClr>
            </a:solidFill>
          </a:endParaRPr>
        </a:p>
      </xdr:txBody>
    </xdr:sp>
    <xdr:clientData/>
  </xdr:oneCellAnchor>
  <xdr:oneCellAnchor>
    <xdr:from>
      <xdr:col>3</xdr:col>
      <xdr:colOff>598714</xdr:colOff>
      <xdr:row>23</xdr:row>
      <xdr:rowOff>43543</xdr:rowOff>
    </xdr:from>
    <xdr:ext cx="1022652" cy="264560"/>
    <xdr:sp macro="" textlink="">
      <xdr:nvSpPr>
        <xdr:cNvPr id="33" name="TextBox 32">
          <a:extLst>
            <a:ext uri="{FF2B5EF4-FFF2-40B4-BE49-F238E27FC236}">
              <a16:creationId xmlns:a16="http://schemas.microsoft.com/office/drawing/2014/main" id="{DAC89711-D5FD-C47E-DB61-AE7E15E295FC}"/>
            </a:ext>
          </a:extLst>
        </xdr:cNvPr>
        <xdr:cNvSpPr txBox="1"/>
      </xdr:nvSpPr>
      <xdr:spPr>
        <a:xfrm>
          <a:off x="2427514" y="4299857"/>
          <a:ext cx="102265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solidFill>
                <a:schemeClr val="tx2">
                  <a:lumMod val="40000"/>
                  <a:lumOff val="60000"/>
                </a:schemeClr>
              </a:solidFill>
            </a:rPr>
            <a:t>Regional Sales</a:t>
          </a:r>
          <a:endParaRPr lang="en-NG" sz="1100" b="1">
            <a:solidFill>
              <a:schemeClr val="tx2">
                <a:lumMod val="40000"/>
                <a:lumOff val="60000"/>
              </a:schemeClr>
            </a:solidFill>
          </a:endParaRPr>
        </a:p>
      </xdr:txBody>
    </xdr:sp>
    <xdr:clientData/>
  </xdr:oneCellAnchor>
  <xdr:oneCellAnchor>
    <xdr:from>
      <xdr:col>9</xdr:col>
      <xdr:colOff>424541</xdr:colOff>
      <xdr:row>23</xdr:row>
      <xdr:rowOff>10885</xdr:rowOff>
    </xdr:from>
    <xdr:ext cx="1595373" cy="264560"/>
    <xdr:sp macro="" textlink="">
      <xdr:nvSpPr>
        <xdr:cNvPr id="34" name="TextBox 33">
          <a:extLst>
            <a:ext uri="{FF2B5EF4-FFF2-40B4-BE49-F238E27FC236}">
              <a16:creationId xmlns:a16="http://schemas.microsoft.com/office/drawing/2014/main" id="{BDEF3FFD-2B02-743C-ADC7-412532A16621}"/>
            </a:ext>
          </a:extLst>
        </xdr:cNvPr>
        <xdr:cNvSpPr txBox="1"/>
      </xdr:nvSpPr>
      <xdr:spPr>
        <a:xfrm>
          <a:off x="5910941" y="4267199"/>
          <a:ext cx="159537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solidFill>
                <a:schemeClr val="tx2">
                  <a:lumMod val="40000"/>
                  <a:lumOff val="60000"/>
                </a:schemeClr>
              </a:solidFill>
            </a:rPr>
            <a:t>Client Satisfaction Score</a:t>
          </a:r>
          <a:endParaRPr lang="en-NG" sz="1100" b="1">
            <a:solidFill>
              <a:schemeClr val="tx2">
                <a:lumMod val="40000"/>
                <a:lumOff val="60000"/>
              </a:schemeClr>
            </a:solidFill>
          </a:endParaRPr>
        </a:p>
      </xdr:txBody>
    </xdr:sp>
    <xdr:clientData/>
  </xdr:oneCellAnchor>
  <xdr:oneCellAnchor>
    <xdr:from>
      <xdr:col>15</xdr:col>
      <xdr:colOff>478968</xdr:colOff>
      <xdr:row>17</xdr:row>
      <xdr:rowOff>152399</xdr:rowOff>
    </xdr:from>
    <xdr:ext cx="1460143" cy="264560"/>
    <xdr:sp macro="" textlink="">
      <xdr:nvSpPr>
        <xdr:cNvPr id="35" name="TextBox 34">
          <a:extLst>
            <a:ext uri="{FF2B5EF4-FFF2-40B4-BE49-F238E27FC236}">
              <a16:creationId xmlns:a16="http://schemas.microsoft.com/office/drawing/2014/main" id="{53896E07-7BFA-D0EF-CCFD-8B95E50D6BCB}"/>
            </a:ext>
          </a:extLst>
        </xdr:cNvPr>
        <xdr:cNvSpPr txBox="1"/>
      </xdr:nvSpPr>
      <xdr:spPr>
        <a:xfrm>
          <a:off x="9622968" y="3298370"/>
          <a:ext cx="146014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solidFill>
                <a:schemeClr val="tx2">
                  <a:lumMod val="40000"/>
                  <a:lumOff val="60000"/>
                </a:schemeClr>
              </a:solidFill>
            </a:rPr>
            <a:t>Revenue by Salesman</a:t>
          </a:r>
          <a:endParaRPr lang="en-NG" sz="1100" b="1">
            <a:solidFill>
              <a:schemeClr val="tx2">
                <a:lumMod val="40000"/>
                <a:lumOff val="60000"/>
              </a:schemeClr>
            </a:solidFill>
          </a:endParaRPr>
        </a:p>
      </xdr:txBody>
    </xdr:sp>
    <xdr:clientData/>
  </xdr:oneCellAnchor>
  <xdr:oneCellAnchor>
    <xdr:from>
      <xdr:col>16</xdr:col>
      <xdr:colOff>500739</xdr:colOff>
      <xdr:row>0</xdr:row>
      <xdr:rowOff>174170</xdr:rowOff>
    </xdr:from>
    <xdr:ext cx="1069780" cy="264560"/>
    <xdr:sp macro="" textlink="">
      <xdr:nvSpPr>
        <xdr:cNvPr id="36" name="TextBox 35">
          <a:extLst>
            <a:ext uri="{FF2B5EF4-FFF2-40B4-BE49-F238E27FC236}">
              <a16:creationId xmlns:a16="http://schemas.microsoft.com/office/drawing/2014/main" id="{67CC257F-E0E9-6719-E058-BE50A24FDE3C}"/>
            </a:ext>
          </a:extLst>
        </xdr:cNvPr>
        <xdr:cNvSpPr txBox="1"/>
      </xdr:nvSpPr>
      <xdr:spPr>
        <a:xfrm>
          <a:off x="10254339" y="174170"/>
          <a:ext cx="10697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solidFill>
                <a:schemeClr val="tx2">
                  <a:lumMod val="40000"/>
                  <a:lumOff val="60000"/>
                </a:schemeClr>
              </a:solidFill>
            </a:rPr>
            <a:t>Revenue Trend</a:t>
          </a:r>
          <a:endParaRPr lang="en-NG" sz="1100" b="1">
            <a:solidFill>
              <a:schemeClr val="tx2">
                <a:lumMod val="40000"/>
                <a:lumOff val="60000"/>
              </a:schemeClr>
            </a:solidFill>
          </a:endParaRPr>
        </a:p>
      </xdr:txBody>
    </xdr:sp>
    <xdr:clientData/>
  </xdr:oneCellAnchor>
  <xdr:twoCellAnchor editAs="oneCell">
    <xdr:from>
      <xdr:col>0</xdr:col>
      <xdr:colOff>330653</xdr:colOff>
      <xdr:row>8</xdr:row>
      <xdr:rowOff>47613</xdr:rowOff>
    </xdr:from>
    <xdr:to>
      <xdr:col>3</xdr:col>
      <xdr:colOff>239486</xdr:colOff>
      <xdr:row>13</xdr:row>
      <xdr:rowOff>163280</xdr:rowOff>
    </xdr:to>
    <mc:AlternateContent xmlns:mc="http://schemas.openxmlformats.org/markup-compatibility/2006" xmlns:a14="http://schemas.microsoft.com/office/drawing/2010/main">
      <mc:Choice Requires="a14">
        <xdr:graphicFrame macro="">
          <xdr:nvGraphicFramePr>
            <xdr:cNvPr id="40" name="Product">
              <a:extLst>
                <a:ext uri="{FF2B5EF4-FFF2-40B4-BE49-F238E27FC236}">
                  <a16:creationId xmlns:a16="http://schemas.microsoft.com/office/drawing/2014/main" id="{F1D5FF73-6194-4E3B-A7CD-A289D4A482F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30653" y="1528070"/>
              <a:ext cx="1737633" cy="104095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330653</xdr:colOff>
      <xdr:row>13</xdr:row>
      <xdr:rowOff>14958</xdr:rowOff>
    </xdr:from>
    <xdr:to>
      <xdr:col>3</xdr:col>
      <xdr:colOff>239486</xdr:colOff>
      <xdr:row>25</xdr:row>
      <xdr:rowOff>43539</xdr:rowOff>
    </xdr:to>
    <mc:AlternateContent xmlns:mc="http://schemas.openxmlformats.org/markup-compatibility/2006" xmlns:a14="http://schemas.microsoft.com/office/drawing/2010/main">
      <mc:Choice Requires="a14">
        <xdr:graphicFrame macro="">
          <xdr:nvGraphicFramePr>
            <xdr:cNvPr id="42" name="Region">
              <a:extLst>
                <a:ext uri="{FF2B5EF4-FFF2-40B4-BE49-F238E27FC236}">
                  <a16:creationId xmlns:a16="http://schemas.microsoft.com/office/drawing/2014/main" id="{9830DE61-99CF-4C83-B467-03CC33CDBB7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30653" y="2420701"/>
              <a:ext cx="1737633" cy="224926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308882</xdr:colOff>
      <xdr:row>24</xdr:row>
      <xdr:rowOff>156477</xdr:rowOff>
    </xdr:from>
    <xdr:to>
      <xdr:col>3</xdr:col>
      <xdr:colOff>217714</xdr:colOff>
      <xdr:row>33</xdr:row>
      <xdr:rowOff>32658</xdr:rowOff>
    </xdr:to>
    <mc:AlternateContent xmlns:mc="http://schemas.openxmlformats.org/markup-compatibility/2006" xmlns:a14="http://schemas.microsoft.com/office/drawing/2010/main">
      <mc:Choice Requires="a14">
        <xdr:graphicFrame macro="">
          <xdr:nvGraphicFramePr>
            <xdr:cNvPr id="44" name="Months (Sale Date)">
              <a:extLst>
                <a:ext uri="{FF2B5EF4-FFF2-40B4-BE49-F238E27FC236}">
                  <a16:creationId xmlns:a16="http://schemas.microsoft.com/office/drawing/2014/main" id="{CA3F6845-81FF-4BA7-856B-25FEFFE3E706}"/>
                </a:ext>
              </a:extLst>
            </xdr:cNvPr>
            <xdr:cNvGraphicFramePr/>
          </xdr:nvGraphicFramePr>
          <xdr:xfrm>
            <a:off x="0" y="0"/>
            <a:ext cx="0" cy="0"/>
          </xdr:xfrm>
          <a:graphic>
            <a:graphicData uri="http://schemas.microsoft.com/office/drawing/2010/slicer">
              <sle:slicer xmlns:sle="http://schemas.microsoft.com/office/drawing/2010/slicer" name="Months (Sale Date)"/>
            </a:graphicData>
          </a:graphic>
        </xdr:graphicFrame>
      </mc:Choice>
      <mc:Fallback xmlns="">
        <xdr:sp macro="" textlink="">
          <xdr:nvSpPr>
            <xdr:cNvPr id="0" name=""/>
            <xdr:cNvSpPr>
              <a:spLocks noTextEdit="1"/>
            </xdr:cNvSpPr>
          </xdr:nvSpPr>
          <xdr:spPr>
            <a:xfrm>
              <a:off x="308882" y="4597848"/>
              <a:ext cx="1737632" cy="154169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990.790842592593" createdVersion="8" refreshedVersion="8" minRefreshableVersion="3" recordCount="120" xr:uid="{60650816-672B-415A-AB4D-ABA07CF3479B}">
  <cacheSource type="worksheet">
    <worksheetSource ref="A1:R121" sheet="Data"/>
  </cacheSource>
  <cacheFields count="20">
    <cacheField name="Salesman" numFmtId="0">
      <sharedItems count="10">
        <s v="Joe"/>
        <s v="Marco"/>
        <s v="Noah"/>
        <s v="Kelly"/>
        <s v="John"/>
        <s v="Ken"/>
        <s v="Una"/>
        <s v="Gordon"/>
        <s v="Mich"/>
        <s v="Patrick"/>
      </sharedItems>
    </cacheField>
    <cacheField name="Product" numFmtId="0">
      <sharedItems count="2">
        <s v="Product 1"/>
        <s v="Product 2"/>
      </sharedItems>
    </cacheField>
    <cacheField name="Sale Date" numFmtId="164">
      <sharedItems containsSemiMixedTypes="0" containsNonDate="0" containsDate="1" containsString="0" minDate="2023-08-01T00:00:00" maxDate="2023-11-10T00:00:00" count="72">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21T00:00:00"/>
        <d v="2023-08-22T00:00:00"/>
        <d v="2023-08-23T00:00:00"/>
        <d v="2023-08-24T00:00:00"/>
        <d v="2023-08-25T00:00:00"/>
        <d v="2023-08-27T00:00:00"/>
        <d v="2023-08-28T00:00:00"/>
        <d v="2023-08-29T00:00:00"/>
        <d v="2023-08-30T00:00:00"/>
        <d v="2023-09-02T00:00:00"/>
        <d v="2023-09-04T00:00:00"/>
        <d v="2023-09-05T00:00:00"/>
        <d v="2023-09-06T00:00:00"/>
        <d v="2023-09-08T00:00:00"/>
        <d v="2023-09-10T00:00:00"/>
        <d v="2023-09-11T00:00:00"/>
        <d v="2023-09-12T00:00:00"/>
        <d v="2023-09-14T00:00:00"/>
        <d v="2023-09-15T00:00:00"/>
        <d v="2023-09-16T00:00:00"/>
        <d v="2023-09-19T00:00:00"/>
        <d v="2023-09-20T00:00:00"/>
        <d v="2023-09-21T00:00:00"/>
        <d v="2023-09-22T00:00:00"/>
        <d v="2023-09-23T00:00:00"/>
        <d v="2023-09-24T00:00:00"/>
        <d v="2023-09-25T00:00:00"/>
        <d v="2023-09-26T00:00:00"/>
        <d v="2023-09-27T00:00:00"/>
        <d v="2023-09-28T00:00:00"/>
        <d v="2023-09-29T00:00:00"/>
        <d v="2023-09-30T00:00:00"/>
        <d v="2023-10-02T00:00:00"/>
        <d v="2023-10-03T00:00:00"/>
        <d v="2023-10-04T00:00:00"/>
        <d v="2023-10-05T00:00:00"/>
        <d v="2023-10-06T00:00:00"/>
        <d v="2023-10-07T00:00:00"/>
        <d v="2023-10-08T00:00:00"/>
        <d v="2023-10-09T00:00:00"/>
        <d v="2023-10-10T00:00:00"/>
        <d v="2023-10-11T00:00:00"/>
        <d v="2023-10-12T00:00:00"/>
        <d v="2023-10-14T00:00:00"/>
        <d v="2023-10-16T00:00:00"/>
        <d v="2023-10-18T00:00:00"/>
        <d v="2023-10-23T00:00:00"/>
        <d v="2023-10-24T00:00:00"/>
        <d v="2023-10-26T00:00:00"/>
        <d v="2023-10-29T00:00:00"/>
        <d v="2023-10-30T00:00:00"/>
        <d v="2023-10-31T00:00:00"/>
        <d v="2023-11-04T00:00:00"/>
        <d v="2023-11-06T00:00:00"/>
        <d v="2023-11-09T00:00:00"/>
      </sharedItems>
      <fieldGroup par="19"/>
    </cacheField>
    <cacheField name="Region" numFmtId="0">
      <sharedItems count="6">
        <s v="Germany"/>
        <s v="UK"/>
        <s v="France"/>
        <s v="Switzerland"/>
        <s v="Italy"/>
        <s v="Spain"/>
      </sharedItems>
    </cacheField>
    <cacheField name="Hours" numFmtId="165">
      <sharedItems containsSemiMixedTypes="0" containsString="0" containsNumber="1" containsInteger="1" minValue="6" maxValue="9"/>
    </cacheField>
    <cacheField name="Sales" numFmtId="0">
      <sharedItems containsSemiMixedTypes="0" containsString="0" containsNumber="1" containsInteger="1" minValue="15" maxValue="80"/>
    </cacheField>
    <cacheField name="Sales Per Hour" numFmtId="2">
      <sharedItems containsSemiMixedTypes="0" containsString="0" containsNumber="1" minValue="1.6666666666666667" maxValue="11.428571428571429"/>
    </cacheField>
    <cacheField name="Revenue" numFmtId="166">
      <sharedItems containsSemiMixedTypes="0" containsString="0" containsNumber="1" containsInteger="1" minValue="51000" maxValue="150000"/>
    </cacheField>
    <cacheField name="Revenue Per Hour" numFmtId="166">
      <sharedItems containsSemiMixedTypes="0" containsString="0" containsNumber="1" minValue="5666.666666666667" maxValue="20833.333333333332"/>
    </cacheField>
    <cacheField name="Calls" numFmtId="1">
      <sharedItems containsSemiMixedTypes="0" containsString="0" containsNumber="1" containsInteger="1" minValue="250" maxValue="500"/>
    </cacheField>
    <cacheField name="Excellent" numFmtId="0">
      <sharedItems containsSemiMixedTypes="0" containsString="0" containsNumber="1" containsInteger="1" minValue="14" maxValue="120"/>
    </cacheField>
    <cacheField name="Good" numFmtId="0">
      <sharedItems containsSemiMixedTypes="0" containsString="0" containsNumber="1" containsInteger="1" minValue="20" maxValue="99"/>
    </cacheField>
    <cacheField name="Fair" numFmtId="0">
      <sharedItems containsSemiMixedTypes="0" containsString="0" containsNumber="1" containsInteger="1" minValue="11" maxValue="50"/>
    </cacheField>
    <cacheField name="Poor" numFmtId="0">
      <sharedItems containsSemiMixedTypes="0" containsString="0" containsNumber="1" containsInteger="1" minValue="6" maxValue="55"/>
    </cacheField>
    <cacheField name="Total" numFmtId="1">
      <sharedItems containsSemiMixedTypes="0" containsString="0" containsNumber="1" containsInteger="1" minValue="81" maxValue="228"/>
    </cacheField>
    <cacheField name="Client Satisfaction" numFmtId="2">
      <sharedItems containsSemiMixedTypes="0" containsString="0" containsNumber="1" minValue="0.69599999999999995" maxValue="0.87927927927927929"/>
    </cacheField>
    <cacheField name="Positive" numFmtId="0">
      <sharedItems containsSemiMixedTypes="0" containsString="0" containsNumber="1" containsInteger="1" minValue="40" maxValue="199"/>
    </cacheField>
    <cacheField name="Negative" numFmtId="0">
      <sharedItems containsSemiMixedTypes="0" containsString="0" containsNumber="1" containsInteger="1" minValue="17" maxValue="66"/>
    </cacheField>
    <cacheField name="Days (Sale Date)" numFmtId="0" databaseField="0">
      <fieldGroup base="2">
        <rangePr groupBy="days" startDate="2023-08-01T00:00:00" endDate="2023-11-10T00:00:00"/>
        <groupItems count="368">
          <s v="&lt;01/08/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0/11/2023"/>
        </groupItems>
      </fieldGroup>
    </cacheField>
    <cacheField name="Months (Sale Date)" numFmtId="0" databaseField="0">
      <fieldGroup base="2">
        <rangePr groupBy="months" startDate="2023-08-01T00:00:00" endDate="2023-11-10T00:00:00"/>
        <groupItems count="14">
          <s v="&lt;01/08/2023"/>
          <s v="Jan"/>
          <s v="Feb"/>
          <s v="Mar"/>
          <s v="Apr"/>
          <s v="May"/>
          <s v="Jun"/>
          <s v="Jul"/>
          <s v="Aug"/>
          <s v="Sept"/>
          <s v="Oct"/>
          <s v="Nov"/>
          <s v="Dec"/>
          <s v="&gt;10/11/2023"/>
        </groupItems>
      </fieldGroup>
    </cacheField>
  </cacheFields>
  <extLst>
    <ext xmlns:x14="http://schemas.microsoft.com/office/spreadsheetml/2009/9/main" uri="{725AE2AE-9491-48be-B2B4-4EB974FC3084}">
      <x14:pivotCacheDefinition pivotCacheId="14948698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x v="0"/>
    <x v="0"/>
    <x v="0"/>
    <n v="9"/>
    <n v="22"/>
    <n v="2.4444444444444446"/>
    <n v="74800"/>
    <n v="8311.1111111111113"/>
    <n v="358"/>
    <n v="24"/>
    <n v="40"/>
    <n v="32"/>
    <n v="15"/>
    <n v="111"/>
    <n v="0.7315315315315315"/>
    <n v="64"/>
    <n v="47"/>
  </r>
  <r>
    <x v="0"/>
    <x v="1"/>
    <x v="1"/>
    <x v="1"/>
    <n v="8"/>
    <n v="19"/>
    <n v="2.375"/>
    <n v="64600"/>
    <n v="8075"/>
    <n v="323"/>
    <n v="20"/>
    <n v="35"/>
    <n v="34"/>
    <n v="15"/>
    <n v="104"/>
    <n v="0.7153846153846154"/>
    <n v="55"/>
    <n v="49"/>
  </r>
  <r>
    <x v="0"/>
    <x v="1"/>
    <x v="1"/>
    <x v="2"/>
    <n v="6"/>
    <n v="45"/>
    <n v="7.5"/>
    <n v="90000"/>
    <n v="15000"/>
    <n v="400"/>
    <n v="35"/>
    <n v="30"/>
    <n v="20"/>
    <n v="40"/>
    <n v="125"/>
    <n v="0.69599999999999995"/>
    <n v="65"/>
    <n v="60"/>
  </r>
  <r>
    <x v="1"/>
    <x v="1"/>
    <x v="2"/>
    <x v="3"/>
    <n v="6"/>
    <n v="50"/>
    <n v="8.3333333333333339"/>
    <n v="80000"/>
    <n v="13333.333333333334"/>
    <n v="333"/>
    <n v="50"/>
    <n v="30"/>
    <n v="20"/>
    <n v="10"/>
    <n v="110"/>
    <n v="0.81818181818181823"/>
    <n v="80"/>
    <n v="30"/>
  </r>
  <r>
    <x v="2"/>
    <x v="1"/>
    <x v="2"/>
    <x v="3"/>
    <n v="7"/>
    <n v="55"/>
    <n v="7.8571428571428568"/>
    <n v="80000"/>
    <n v="11428.571428571429"/>
    <n v="500"/>
    <n v="50"/>
    <n v="30"/>
    <n v="20"/>
    <n v="10"/>
    <n v="110"/>
    <n v="0.81818181818181823"/>
    <n v="80"/>
    <n v="30"/>
  </r>
  <r>
    <x v="3"/>
    <x v="1"/>
    <x v="3"/>
    <x v="0"/>
    <n v="6"/>
    <n v="60"/>
    <n v="10"/>
    <n v="120000"/>
    <n v="20000"/>
    <n v="250"/>
    <n v="50"/>
    <n v="30"/>
    <n v="20"/>
    <n v="10"/>
    <n v="110"/>
    <n v="0.81818181818181823"/>
    <n v="80"/>
    <n v="30"/>
  </r>
  <r>
    <x v="4"/>
    <x v="0"/>
    <x v="4"/>
    <x v="1"/>
    <n v="6"/>
    <n v="18"/>
    <n v="3"/>
    <n v="70000"/>
    <n v="11666.666666666666"/>
    <n v="340"/>
    <n v="77"/>
    <n v="60"/>
    <n v="12"/>
    <n v="17"/>
    <n v="166"/>
    <n v="0.83734939759036142"/>
    <n v="137"/>
    <n v="29"/>
  </r>
  <r>
    <x v="5"/>
    <x v="0"/>
    <x v="4"/>
    <x v="4"/>
    <n v="8"/>
    <n v="18"/>
    <n v="2.25"/>
    <n v="77700"/>
    <n v="9712.5"/>
    <n v="400"/>
    <n v="66"/>
    <n v="38"/>
    <n v="11"/>
    <n v="6"/>
    <n v="121"/>
    <n v="0.87107438016528926"/>
    <n v="104"/>
    <n v="17"/>
  </r>
  <r>
    <x v="6"/>
    <x v="0"/>
    <x v="4"/>
    <x v="5"/>
    <n v="9"/>
    <n v="18"/>
    <n v="2"/>
    <n v="70000"/>
    <n v="7777.7777777777774"/>
    <n v="433"/>
    <n v="120"/>
    <n v="77"/>
    <n v="18"/>
    <n v="7"/>
    <n v="222"/>
    <n v="0.87927927927927929"/>
    <n v="197"/>
    <n v="25"/>
  </r>
  <r>
    <x v="7"/>
    <x v="0"/>
    <x v="5"/>
    <x v="1"/>
    <n v="9"/>
    <n v="18"/>
    <n v="2"/>
    <n v="60000"/>
    <n v="6666.666666666667"/>
    <n v="355"/>
    <n v="100"/>
    <n v="99"/>
    <n v="12"/>
    <n v="17"/>
    <n v="228"/>
    <n v="0.84736842105263155"/>
    <n v="199"/>
    <n v="29"/>
  </r>
  <r>
    <x v="8"/>
    <x v="0"/>
    <x v="5"/>
    <x v="1"/>
    <n v="8"/>
    <n v="18"/>
    <n v="2.25"/>
    <n v="150000"/>
    <n v="18750"/>
    <n v="366"/>
    <n v="88"/>
    <n v="90"/>
    <n v="12"/>
    <n v="17"/>
    <n v="207"/>
    <n v="0.84057971014492749"/>
    <n v="178"/>
    <n v="29"/>
  </r>
  <r>
    <x v="9"/>
    <x v="1"/>
    <x v="6"/>
    <x v="0"/>
    <n v="8"/>
    <n v="70"/>
    <n v="8.75"/>
    <n v="80000"/>
    <n v="10000"/>
    <n v="250"/>
    <n v="72"/>
    <n v="30"/>
    <n v="20"/>
    <n v="10"/>
    <n v="132"/>
    <n v="0.84848484848484851"/>
    <n v="102"/>
    <n v="30"/>
  </r>
  <r>
    <x v="0"/>
    <x v="1"/>
    <x v="6"/>
    <x v="0"/>
    <n v="8"/>
    <n v="80"/>
    <n v="10"/>
    <n v="140000"/>
    <n v="17500"/>
    <n v="400"/>
    <n v="64"/>
    <n v="30"/>
    <n v="11"/>
    <n v="55"/>
    <n v="160"/>
    <n v="0.72875000000000001"/>
    <n v="94"/>
    <n v="66"/>
  </r>
  <r>
    <x v="1"/>
    <x v="1"/>
    <x v="6"/>
    <x v="0"/>
    <n v="7"/>
    <n v="80"/>
    <n v="11.428571428571429"/>
    <n v="100000"/>
    <n v="14285.714285714286"/>
    <n v="400"/>
    <n v="55"/>
    <n v="44"/>
    <n v="18"/>
    <n v="9"/>
    <n v="126"/>
    <n v="0.83015873015873021"/>
    <n v="99"/>
    <n v="27"/>
  </r>
  <r>
    <x v="2"/>
    <x v="0"/>
    <x v="6"/>
    <x v="4"/>
    <n v="7"/>
    <n v="24"/>
    <n v="3.4285714285714284"/>
    <n v="120000"/>
    <n v="17142.857142857141"/>
    <n v="500"/>
    <n v="66"/>
    <n v="62"/>
    <n v="17"/>
    <n v="16"/>
    <n v="161"/>
    <n v="0.82111801242236027"/>
    <n v="128"/>
    <n v="33"/>
  </r>
  <r>
    <x v="3"/>
    <x v="0"/>
    <x v="6"/>
    <x v="4"/>
    <n v="9"/>
    <n v="29"/>
    <n v="3.2222222222222223"/>
    <n v="120000"/>
    <n v="13333.333333333334"/>
    <n v="480"/>
    <n v="77"/>
    <n v="49"/>
    <n v="12"/>
    <n v="19"/>
    <n v="157"/>
    <n v="0.83439490445859876"/>
    <n v="126"/>
    <n v="31"/>
  </r>
  <r>
    <x v="4"/>
    <x v="1"/>
    <x v="7"/>
    <x v="2"/>
    <n v="6"/>
    <n v="45"/>
    <n v="7.5"/>
    <n v="90000"/>
    <n v="15000"/>
    <n v="400"/>
    <n v="40"/>
    <n v="30"/>
    <n v="20"/>
    <n v="45"/>
    <n v="135"/>
    <n v="0.6962962962962963"/>
    <n v="70"/>
    <n v="65"/>
  </r>
  <r>
    <x v="5"/>
    <x v="1"/>
    <x v="7"/>
    <x v="2"/>
    <n v="8"/>
    <n v="45"/>
    <n v="5.625"/>
    <n v="120000"/>
    <n v="15000"/>
    <n v="500"/>
    <n v="70"/>
    <n v="40"/>
    <n v="11"/>
    <n v="19"/>
    <n v="140"/>
    <n v="0.83"/>
    <n v="110"/>
    <n v="30"/>
  </r>
  <r>
    <x v="6"/>
    <x v="0"/>
    <x v="7"/>
    <x v="5"/>
    <n v="8"/>
    <n v="25"/>
    <n v="3.125"/>
    <n v="117700"/>
    <n v="14712.5"/>
    <n v="380"/>
    <n v="28"/>
    <n v="77"/>
    <n v="15"/>
    <n v="9"/>
    <n v="129"/>
    <n v="0.79224806201550391"/>
    <n v="105"/>
    <n v="24"/>
  </r>
  <r>
    <x v="7"/>
    <x v="0"/>
    <x v="8"/>
    <x v="5"/>
    <n v="6"/>
    <n v="26"/>
    <n v="4.333333333333333"/>
    <n v="125000"/>
    <n v="20833.333333333332"/>
    <n v="377"/>
    <n v="66"/>
    <n v="77"/>
    <n v="26"/>
    <n v="7"/>
    <n v="176"/>
    <n v="0.82954545454545459"/>
    <n v="143"/>
    <n v="33"/>
  </r>
  <r>
    <x v="0"/>
    <x v="0"/>
    <x v="8"/>
    <x v="2"/>
    <n v="9"/>
    <n v="16"/>
    <n v="1.7777777777777777"/>
    <n v="54400"/>
    <n v="6044.4444444444443"/>
    <n v="310"/>
    <n v="29"/>
    <n v="32"/>
    <n v="30"/>
    <n v="11"/>
    <n v="102"/>
    <n v="0.75490196078431371"/>
    <n v="61"/>
    <n v="41"/>
  </r>
  <r>
    <x v="0"/>
    <x v="1"/>
    <x v="9"/>
    <x v="4"/>
    <n v="9"/>
    <n v="21"/>
    <n v="2.3333333333333335"/>
    <n v="71400"/>
    <n v="7933.333333333333"/>
    <n v="327"/>
    <n v="25"/>
    <n v="36"/>
    <n v="33"/>
    <n v="12"/>
    <n v="106"/>
    <n v="0.73962264150943391"/>
    <n v="61"/>
    <n v="45"/>
  </r>
  <r>
    <x v="0"/>
    <x v="0"/>
    <x v="9"/>
    <x v="3"/>
    <n v="7"/>
    <n v="23"/>
    <n v="3.2857142857142856"/>
    <n v="78200"/>
    <n v="11171.428571428571"/>
    <n v="367"/>
    <n v="27"/>
    <n v="37"/>
    <n v="36"/>
    <n v="12"/>
    <n v="112"/>
    <n v="0.7410714285714286"/>
    <n v="64"/>
    <n v="48"/>
  </r>
  <r>
    <x v="0"/>
    <x v="1"/>
    <x v="10"/>
    <x v="5"/>
    <n v="8"/>
    <n v="24"/>
    <n v="3"/>
    <n v="81600"/>
    <n v="10200"/>
    <n v="379"/>
    <n v="23"/>
    <n v="37"/>
    <n v="33"/>
    <n v="11"/>
    <n v="104"/>
    <n v="0.7384615384615385"/>
    <n v="60"/>
    <n v="44"/>
  </r>
  <r>
    <x v="0"/>
    <x v="0"/>
    <x v="10"/>
    <x v="0"/>
    <n v="8"/>
    <n v="15"/>
    <n v="1.875"/>
    <n v="51000"/>
    <n v="6375"/>
    <n v="302"/>
    <n v="24"/>
    <n v="37"/>
    <n v="33"/>
    <n v="12"/>
    <n v="106"/>
    <n v="0.73773584905660372"/>
    <n v="61"/>
    <n v="45"/>
  </r>
  <r>
    <x v="0"/>
    <x v="1"/>
    <x v="11"/>
    <x v="1"/>
    <n v="6"/>
    <n v="19"/>
    <n v="3.1666666666666665"/>
    <n v="64600"/>
    <n v="10766.666666666666"/>
    <n v="380"/>
    <n v="21"/>
    <n v="32"/>
    <n v="33"/>
    <n v="11"/>
    <n v="97"/>
    <n v="0.72989690721649481"/>
    <n v="53"/>
    <n v="44"/>
  </r>
  <r>
    <x v="0"/>
    <x v="0"/>
    <x v="12"/>
    <x v="2"/>
    <n v="7"/>
    <n v="20"/>
    <n v="2.8571428571428572"/>
    <n v="68000"/>
    <n v="9714.2857142857138"/>
    <n v="394"/>
    <n v="30"/>
    <n v="38"/>
    <n v="35"/>
    <n v="13"/>
    <n v="116"/>
    <n v="0.74655172413793103"/>
    <n v="68"/>
    <n v="48"/>
  </r>
  <r>
    <x v="0"/>
    <x v="1"/>
    <x v="12"/>
    <x v="4"/>
    <n v="9"/>
    <n v="24"/>
    <n v="2.6666666666666665"/>
    <n v="81600"/>
    <n v="9066.6666666666661"/>
    <n v="321"/>
    <n v="27"/>
    <n v="32"/>
    <n v="40"/>
    <n v="14"/>
    <n v="113"/>
    <n v="0.72743362831858405"/>
    <n v="59"/>
    <n v="54"/>
  </r>
  <r>
    <x v="1"/>
    <x v="0"/>
    <x v="13"/>
    <x v="3"/>
    <n v="7"/>
    <n v="25"/>
    <n v="3.5714285714285716"/>
    <n v="70000"/>
    <n v="10000"/>
    <n v="348"/>
    <n v="20"/>
    <n v="38"/>
    <n v="30"/>
    <n v="10"/>
    <n v="98"/>
    <n v="0.73877551020408161"/>
    <n v="58"/>
    <n v="40"/>
  </r>
  <r>
    <x v="1"/>
    <x v="1"/>
    <x v="14"/>
    <x v="5"/>
    <n v="7"/>
    <n v="21"/>
    <n v="3"/>
    <n v="71400"/>
    <n v="10200"/>
    <n v="381"/>
    <n v="23"/>
    <n v="45"/>
    <n v="36"/>
    <n v="11"/>
    <n v="115"/>
    <n v="0.73913043478260865"/>
    <n v="68"/>
    <n v="47"/>
  </r>
  <r>
    <x v="1"/>
    <x v="0"/>
    <x v="15"/>
    <x v="0"/>
    <n v="7"/>
    <n v="24"/>
    <n v="3.4285714285714284"/>
    <n v="81600"/>
    <n v="11657.142857142857"/>
    <n v="335"/>
    <n v="28"/>
    <n v="31"/>
    <n v="33"/>
    <n v="15"/>
    <n v="107"/>
    <n v="0.73457943925233649"/>
    <n v="59"/>
    <n v="48"/>
  </r>
  <r>
    <x v="1"/>
    <x v="1"/>
    <x v="16"/>
    <x v="1"/>
    <n v="6"/>
    <n v="18"/>
    <n v="3"/>
    <n v="61200"/>
    <n v="10200"/>
    <n v="327"/>
    <n v="23"/>
    <n v="30"/>
    <n v="33"/>
    <n v="11"/>
    <n v="97"/>
    <n v="0.73402061855670098"/>
    <n v="53"/>
    <n v="44"/>
  </r>
  <r>
    <x v="1"/>
    <x v="0"/>
    <x v="17"/>
    <x v="2"/>
    <n v="7"/>
    <n v="23"/>
    <n v="3.2857142857142856"/>
    <n v="78200"/>
    <n v="11171.428571428571"/>
    <n v="369"/>
    <n v="21"/>
    <n v="20"/>
    <n v="34"/>
    <n v="10"/>
    <n v="85"/>
    <n v="0.72235294117647064"/>
    <n v="41"/>
    <n v="44"/>
  </r>
  <r>
    <x v="1"/>
    <x v="1"/>
    <x v="17"/>
    <x v="4"/>
    <n v="6"/>
    <n v="24"/>
    <n v="4"/>
    <n v="81600"/>
    <n v="13600"/>
    <n v="365"/>
    <n v="29"/>
    <n v="34"/>
    <n v="36"/>
    <n v="14"/>
    <n v="113"/>
    <n v="0.73805309734513269"/>
    <n v="63"/>
    <n v="50"/>
  </r>
  <r>
    <x v="1"/>
    <x v="0"/>
    <x v="18"/>
    <x v="3"/>
    <n v="7"/>
    <n v="19"/>
    <n v="2.7142857142857144"/>
    <n v="64600"/>
    <n v="9228.5714285714294"/>
    <n v="370"/>
    <n v="27"/>
    <n v="38"/>
    <n v="33"/>
    <n v="14"/>
    <n v="112"/>
    <n v="0.73928571428571432"/>
    <n v="65"/>
    <n v="47"/>
  </r>
  <r>
    <x v="1"/>
    <x v="1"/>
    <x v="19"/>
    <x v="5"/>
    <n v="9"/>
    <n v="15"/>
    <n v="1.6666666666666667"/>
    <n v="51000"/>
    <n v="5666.666666666667"/>
    <n v="302"/>
    <n v="38"/>
    <n v="34"/>
    <n v="36"/>
    <n v="13"/>
    <n v="121"/>
    <n v="0.76033057851239672"/>
    <n v="72"/>
    <n v="49"/>
  </r>
  <r>
    <x v="1"/>
    <x v="0"/>
    <x v="20"/>
    <x v="0"/>
    <n v="6"/>
    <n v="18"/>
    <n v="3"/>
    <n v="61200"/>
    <n v="10200"/>
    <n v="316"/>
    <n v="28"/>
    <n v="33"/>
    <n v="34"/>
    <n v="11"/>
    <n v="106"/>
    <n v="0.74716981132075466"/>
    <n v="61"/>
    <n v="45"/>
  </r>
  <r>
    <x v="1"/>
    <x v="1"/>
    <x v="21"/>
    <x v="1"/>
    <n v="7"/>
    <n v="25"/>
    <n v="3.5714285714285716"/>
    <n v="85000"/>
    <n v="12142.857142857143"/>
    <n v="330"/>
    <n v="24"/>
    <n v="32"/>
    <n v="30"/>
    <n v="10"/>
    <n v="96"/>
    <n v="0.74583333333333335"/>
    <n v="56"/>
    <n v="40"/>
  </r>
  <r>
    <x v="2"/>
    <x v="0"/>
    <x v="22"/>
    <x v="2"/>
    <n v="7"/>
    <n v="15"/>
    <n v="2.1428571428571428"/>
    <n v="51000"/>
    <n v="7285.7142857142853"/>
    <n v="356"/>
    <n v="21"/>
    <n v="35"/>
    <n v="35"/>
    <n v="10"/>
    <n v="101"/>
    <n v="0.73267326732673266"/>
    <n v="56"/>
    <n v="45"/>
  </r>
  <r>
    <x v="2"/>
    <x v="1"/>
    <x v="23"/>
    <x v="4"/>
    <n v="7"/>
    <n v="23"/>
    <n v="3.2857142857142856"/>
    <n v="78200"/>
    <n v="11171.428571428571"/>
    <n v="397"/>
    <n v="23"/>
    <n v="32"/>
    <n v="33"/>
    <n v="13"/>
    <n v="101"/>
    <n v="0.72871287128712869"/>
    <n v="55"/>
    <n v="46"/>
  </r>
  <r>
    <x v="2"/>
    <x v="0"/>
    <x v="23"/>
    <x v="3"/>
    <n v="8"/>
    <n v="24"/>
    <n v="3"/>
    <n v="81600"/>
    <n v="10200"/>
    <n v="379"/>
    <n v="20"/>
    <n v="36"/>
    <n v="31"/>
    <n v="14"/>
    <n v="101"/>
    <n v="0.72277227722772275"/>
    <n v="56"/>
    <n v="45"/>
  </r>
  <r>
    <x v="2"/>
    <x v="1"/>
    <x v="24"/>
    <x v="5"/>
    <n v="9"/>
    <n v="21"/>
    <n v="2.3333333333333335"/>
    <n v="71400"/>
    <n v="7933.333333333333"/>
    <n v="348"/>
    <n v="22"/>
    <n v="30"/>
    <n v="37"/>
    <n v="14"/>
    <n v="103"/>
    <n v="0.71650485436893208"/>
    <n v="52"/>
    <n v="51"/>
  </r>
  <r>
    <x v="2"/>
    <x v="0"/>
    <x v="25"/>
    <x v="0"/>
    <n v="6"/>
    <n v="19"/>
    <n v="3.1666666666666665"/>
    <n v="64600"/>
    <n v="10766.666666666666"/>
    <n v="356"/>
    <n v="28"/>
    <n v="38"/>
    <n v="40"/>
    <n v="14"/>
    <n v="120"/>
    <n v="0.73333333333333328"/>
    <n v="66"/>
    <n v="54"/>
  </r>
  <r>
    <x v="2"/>
    <x v="1"/>
    <x v="25"/>
    <x v="1"/>
    <n v="7"/>
    <n v="19"/>
    <n v="2.7142857142857144"/>
    <n v="64600"/>
    <n v="9228.5714285714294"/>
    <n v="354"/>
    <n v="28"/>
    <n v="38"/>
    <n v="36"/>
    <n v="11"/>
    <n v="113"/>
    <n v="0.7469026548672566"/>
    <n v="66"/>
    <n v="47"/>
  </r>
  <r>
    <x v="2"/>
    <x v="0"/>
    <x v="25"/>
    <x v="2"/>
    <n v="9"/>
    <n v="22"/>
    <n v="2.4444444444444446"/>
    <n v="74800"/>
    <n v="8311.1111111111113"/>
    <n v="341"/>
    <n v="22"/>
    <n v="30"/>
    <n v="31"/>
    <n v="14"/>
    <n v="97"/>
    <n v="0.72371134020618555"/>
    <n v="52"/>
    <n v="45"/>
  </r>
  <r>
    <x v="2"/>
    <x v="1"/>
    <x v="25"/>
    <x v="4"/>
    <n v="8"/>
    <n v="16"/>
    <n v="2"/>
    <n v="54400"/>
    <n v="6800"/>
    <n v="376"/>
    <n v="28"/>
    <n v="39"/>
    <n v="33"/>
    <n v="12"/>
    <n v="112"/>
    <n v="0.74821428571428572"/>
    <n v="67"/>
    <n v="45"/>
  </r>
  <r>
    <x v="2"/>
    <x v="0"/>
    <x v="26"/>
    <x v="3"/>
    <n v="7"/>
    <n v="16"/>
    <n v="2.2857142857142856"/>
    <n v="54400"/>
    <n v="7771.4285714285716"/>
    <n v="353"/>
    <n v="27"/>
    <n v="37"/>
    <n v="35"/>
    <n v="12"/>
    <n v="111"/>
    <n v="0.74234234234234231"/>
    <n v="64"/>
    <n v="47"/>
  </r>
  <r>
    <x v="2"/>
    <x v="1"/>
    <x v="27"/>
    <x v="5"/>
    <n v="9"/>
    <n v="15"/>
    <n v="1.6666666666666667"/>
    <n v="51000"/>
    <n v="5666.666666666667"/>
    <n v="324"/>
    <n v="33"/>
    <n v="32"/>
    <n v="31"/>
    <n v="14"/>
    <n v="110"/>
    <n v="0.75272727272727269"/>
    <n v="65"/>
    <n v="45"/>
  </r>
  <r>
    <x v="3"/>
    <x v="0"/>
    <x v="28"/>
    <x v="0"/>
    <n v="7"/>
    <n v="18"/>
    <n v="2.5714285714285716"/>
    <n v="61200"/>
    <n v="8742.8571428571431"/>
    <n v="364"/>
    <n v="21"/>
    <n v="32"/>
    <n v="37"/>
    <n v="13"/>
    <n v="103"/>
    <n v="0.71844660194174759"/>
    <n v="53"/>
    <n v="50"/>
  </r>
  <r>
    <x v="3"/>
    <x v="1"/>
    <x v="28"/>
    <x v="1"/>
    <n v="8"/>
    <n v="20"/>
    <n v="2.5"/>
    <n v="68000"/>
    <n v="8500"/>
    <n v="357"/>
    <n v="24"/>
    <n v="30"/>
    <n v="39"/>
    <n v="11"/>
    <n v="104"/>
    <n v="0.72884615384615381"/>
    <n v="54"/>
    <n v="50"/>
  </r>
  <r>
    <x v="3"/>
    <x v="0"/>
    <x v="28"/>
    <x v="2"/>
    <n v="8"/>
    <n v="15"/>
    <n v="1.875"/>
    <n v="51000"/>
    <n v="6375"/>
    <n v="301"/>
    <n v="27"/>
    <n v="39"/>
    <n v="39"/>
    <n v="11"/>
    <n v="116"/>
    <n v="0.74137931034482762"/>
    <n v="66"/>
    <n v="50"/>
  </r>
  <r>
    <x v="3"/>
    <x v="1"/>
    <x v="29"/>
    <x v="4"/>
    <n v="7"/>
    <n v="16"/>
    <n v="2.2857142857142856"/>
    <n v="54400"/>
    <n v="7771.4285714285716"/>
    <n v="398"/>
    <n v="29"/>
    <n v="31"/>
    <n v="33"/>
    <n v="11"/>
    <n v="104"/>
    <n v="0.75"/>
    <n v="60"/>
    <n v="44"/>
  </r>
  <r>
    <x v="3"/>
    <x v="0"/>
    <x v="30"/>
    <x v="3"/>
    <n v="8"/>
    <n v="19"/>
    <n v="2.375"/>
    <n v="64600"/>
    <n v="8075"/>
    <n v="324"/>
    <n v="22"/>
    <n v="36"/>
    <n v="39"/>
    <n v="14"/>
    <n v="111"/>
    <n v="0.7189189189189189"/>
    <n v="58"/>
    <n v="53"/>
  </r>
  <r>
    <x v="3"/>
    <x v="1"/>
    <x v="31"/>
    <x v="5"/>
    <n v="7"/>
    <n v="19"/>
    <n v="2.7142857142857144"/>
    <n v="64600"/>
    <n v="9228.5714285714294"/>
    <n v="307"/>
    <n v="36"/>
    <n v="33"/>
    <n v="40"/>
    <n v="11"/>
    <n v="120"/>
    <n v="0.75666666666666671"/>
    <n v="69"/>
    <n v="51"/>
  </r>
  <r>
    <x v="3"/>
    <x v="0"/>
    <x v="32"/>
    <x v="0"/>
    <n v="6"/>
    <n v="16"/>
    <n v="2.6666666666666665"/>
    <n v="54400"/>
    <n v="9066.6666666666661"/>
    <n v="327"/>
    <n v="28"/>
    <n v="33"/>
    <n v="37"/>
    <n v="12"/>
    <n v="110"/>
    <n v="0.74"/>
    <n v="61"/>
    <n v="49"/>
  </r>
  <r>
    <x v="3"/>
    <x v="1"/>
    <x v="33"/>
    <x v="1"/>
    <n v="7"/>
    <n v="16"/>
    <n v="2.2857142857142856"/>
    <n v="54400"/>
    <n v="7771.4285714285716"/>
    <n v="394"/>
    <n v="29"/>
    <n v="37"/>
    <n v="34"/>
    <n v="11"/>
    <n v="111"/>
    <n v="0.75135135135135134"/>
    <n v="66"/>
    <n v="45"/>
  </r>
  <r>
    <x v="3"/>
    <x v="0"/>
    <x v="34"/>
    <x v="2"/>
    <n v="9"/>
    <n v="24"/>
    <n v="2.6666666666666665"/>
    <n v="81600"/>
    <n v="9066.6666666666661"/>
    <n v="369"/>
    <n v="21"/>
    <n v="40"/>
    <n v="34"/>
    <n v="15"/>
    <n v="110"/>
    <n v="0.7218181818181818"/>
    <n v="61"/>
    <n v="49"/>
  </r>
  <r>
    <x v="3"/>
    <x v="1"/>
    <x v="34"/>
    <x v="4"/>
    <n v="9"/>
    <n v="24"/>
    <n v="2.6666666666666665"/>
    <n v="81600"/>
    <n v="9066.6666666666661"/>
    <n v="338"/>
    <n v="28"/>
    <n v="35"/>
    <n v="39"/>
    <n v="15"/>
    <n v="117"/>
    <n v="0.72991452991452987"/>
    <n v="63"/>
    <n v="54"/>
  </r>
  <r>
    <x v="4"/>
    <x v="0"/>
    <x v="35"/>
    <x v="3"/>
    <n v="7"/>
    <n v="22"/>
    <n v="3.1428571428571428"/>
    <n v="74800"/>
    <n v="10685.714285714286"/>
    <n v="377"/>
    <n v="27"/>
    <n v="30"/>
    <n v="34"/>
    <n v="10"/>
    <n v="101"/>
    <n v="0.74653465346534653"/>
    <n v="57"/>
    <n v="44"/>
  </r>
  <r>
    <x v="4"/>
    <x v="1"/>
    <x v="36"/>
    <x v="5"/>
    <n v="7"/>
    <n v="17"/>
    <n v="2.4285714285714284"/>
    <n v="57800"/>
    <n v="8257.1428571428569"/>
    <n v="398"/>
    <n v="28"/>
    <n v="31"/>
    <n v="32"/>
    <n v="10"/>
    <n v="101"/>
    <n v="0.75247524752475248"/>
    <n v="59"/>
    <n v="42"/>
  </r>
  <r>
    <x v="4"/>
    <x v="0"/>
    <x v="36"/>
    <x v="0"/>
    <n v="7"/>
    <n v="23"/>
    <n v="3.2857142857142856"/>
    <n v="78200"/>
    <n v="11171.428571428571"/>
    <n v="320"/>
    <n v="23"/>
    <n v="30"/>
    <n v="39"/>
    <n v="12"/>
    <n v="104"/>
    <n v="0.72307692307692306"/>
    <n v="53"/>
    <n v="51"/>
  </r>
  <r>
    <x v="4"/>
    <x v="1"/>
    <x v="37"/>
    <x v="1"/>
    <n v="8"/>
    <n v="25"/>
    <n v="3.125"/>
    <n v="85000"/>
    <n v="10625"/>
    <n v="338"/>
    <n v="24"/>
    <n v="34"/>
    <n v="33"/>
    <n v="12"/>
    <n v="103"/>
    <n v="0.73592233009708741"/>
    <n v="58"/>
    <n v="45"/>
  </r>
  <r>
    <x v="4"/>
    <x v="0"/>
    <x v="38"/>
    <x v="2"/>
    <n v="6"/>
    <n v="23"/>
    <n v="3.8333333333333335"/>
    <n v="78200"/>
    <n v="13033.333333333334"/>
    <n v="371"/>
    <n v="29"/>
    <n v="30"/>
    <n v="38"/>
    <n v="12"/>
    <n v="109"/>
    <n v="0.73944954128440366"/>
    <n v="59"/>
    <n v="50"/>
  </r>
  <r>
    <x v="4"/>
    <x v="1"/>
    <x v="39"/>
    <x v="4"/>
    <n v="8"/>
    <n v="17"/>
    <n v="2.125"/>
    <n v="57800"/>
    <n v="7225"/>
    <n v="347"/>
    <n v="20"/>
    <n v="40"/>
    <n v="35"/>
    <n v="15"/>
    <n v="110"/>
    <n v="0.71818181818181814"/>
    <n v="60"/>
    <n v="50"/>
  </r>
  <r>
    <x v="4"/>
    <x v="0"/>
    <x v="40"/>
    <x v="3"/>
    <n v="9"/>
    <n v="23"/>
    <n v="2.5555555555555554"/>
    <n v="78200"/>
    <n v="8688.8888888888887"/>
    <n v="368"/>
    <n v="30"/>
    <n v="40"/>
    <n v="38"/>
    <n v="15"/>
    <n v="123"/>
    <n v="0.73821138211382109"/>
    <n v="70"/>
    <n v="53"/>
  </r>
  <r>
    <x v="4"/>
    <x v="1"/>
    <x v="41"/>
    <x v="5"/>
    <n v="8"/>
    <n v="25"/>
    <n v="3.125"/>
    <n v="85000"/>
    <n v="10625"/>
    <n v="353"/>
    <n v="38"/>
    <n v="31"/>
    <n v="37"/>
    <n v="13"/>
    <n v="119"/>
    <n v="0.7579831932773109"/>
    <n v="69"/>
    <n v="50"/>
  </r>
  <r>
    <x v="4"/>
    <x v="0"/>
    <x v="42"/>
    <x v="0"/>
    <n v="6"/>
    <n v="24"/>
    <n v="4"/>
    <n v="81600"/>
    <n v="13600"/>
    <n v="339"/>
    <n v="30"/>
    <n v="40"/>
    <n v="30"/>
    <n v="11"/>
    <n v="111"/>
    <n v="0.76036036036036037"/>
    <n v="70"/>
    <n v="41"/>
  </r>
  <r>
    <x v="4"/>
    <x v="1"/>
    <x v="42"/>
    <x v="1"/>
    <n v="6"/>
    <n v="16"/>
    <n v="2.6666666666666665"/>
    <n v="54400"/>
    <n v="9066.6666666666661"/>
    <n v="395"/>
    <n v="23"/>
    <n v="35"/>
    <n v="37"/>
    <n v="12"/>
    <n v="107"/>
    <n v="0.7289719626168224"/>
    <n v="58"/>
    <n v="49"/>
  </r>
  <r>
    <x v="5"/>
    <x v="0"/>
    <x v="43"/>
    <x v="2"/>
    <n v="6"/>
    <n v="19"/>
    <n v="3.1666666666666665"/>
    <n v="64600"/>
    <n v="10766.666666666666"/>
    <n v="316"/>
    <n v="30"/>
    <n v="40"/>
    <n v="36"/>
    <n v="15"/>
    <n v="121"/>
    <n v="0.740495867768595"/>
    <n v="70"/>
    <n v="51"/>
  </r>
  <r>
    <x v="5"/>
    <x v="1"/>
    <x v="43"/>
    <x v="4"/>
    <n v="9"/>
    <n v="25"/>
    <n v="2.7777777777777777"/>
    <n v="85000"/>
    <n v="9444.4444444444453"/>
    <n v="383"/>
    <n v="30"/>
    <n v="30"/>
    <n v="36"/>
    <n v="10"/>
    <n v="106"/>
    <n v="0.75094339622641515"/>
    <n v="60"/>
    <n v="46"/>
  </r>
  <r>
    <x v="5"/>
    <x v="0"/>
    <x v="43"/>
    <x v="3"/>
    <n v="9"/>
    <n v="16"/>
    <n v="1.7777777777777777"/>
    <n v="54400"/>
    <n v="6044.4444444444443"/>
    <n v="336"/>
    <n v="23"/>
    <n v="38"/>
    <n v="35"/>
    <n v="10"/>
    <n v="106"/>
    <n v="0.73962264150943391"/>
    <n v="61"/>
    <n v="45"/>
  </r>
  <r>
    <x v="5"/>
    <x v="1"/>
    <x v="43"/>
    <x v="5"/>
    <n v="8"/>
    <n v="20"/>
    <n v="2.5"/>
    <n v="68000"/>
    <n v="8500"/>
    <n v="333"/>
    <n v="20"/>
    <n v="31"/>
    <n v="34"/>
    <n v="13"/>
    <n v="98"/>
    <n v="0.71836734693877546"/>
    <n v="51"/>
    <n v="47"/>
  </r>
  <r>
    <x v="5"/>
    <x v="0"/>
    <x v="44"/>
    <x v="0"/>
    <n v="7"/>
    <n v="22"/>
    <n v="3.1428571428571428"/>
    <n v="74800"/>
    <n v="10685.714285714286"/>
    <n v="389"/>
    <n v="20"/>
    <n v="39"/>
    <n v="39"/>
    <n v="13"/>
    <n v="111"/>
    <n v="0.7189189189189189"/>
    <n v="59"/>
    <n v="52"/>
  </r>
  <r>
    <x v="5"/>
    <x v="1"/>
    <x v="44"/>
    <x v="1"/>
    <n v="9"/>
    <n v="23"/>
    <n v="2.5555555555555554"/>
    <n v="78200"/>
    <n v="8688.8888888888887"/>
    <n v="334"/>
    <n v="30"/>
    <n v="38"/>
    <n v="30"/>
    <n v="11"/>
    <n v="109"/>
    <n v="0.75963302752293582"/>
    <n v="68"/>
    <n v="41"/>
  </r>
  <r>
    <x v="5"/>
    <x v="0"/>
    <x v="45"/>
    <x v="2"/>
    <n v="6"/>
    <n v="20"/>
    <n v="3.3333333333333335"/>
    <n v="68000"/>
    <n v="11333.333333333334"/>
    <n v="307"/>
    <n v="28"/>
    <n v="33"/>
    <n v="32"/>
    <n v="12"/>
    <n v="105"/>
    <n v="0.7466666666666667"/>
    <n v="61"/>
    <n v="44"/>
  </r>
  <r>
    <x v="5"/>
    <x v="1"/>
    <x v="46"/>
    <x v="4"/>
    <n v="6"/>
    <n v="19"/>
    <n v="3.1666666666666665"/>
    <n v="64600"/>
    <n v="10766.666666666666"/>
    <n v="378"/>
    <n v="24"/>
    <n v="35"/>
    <n v="37"/>
    <n v="13"/>
    <n v="109"/>
    <n v="0.72844036697247705"/>
    <n v="59"/>
    <n v="50"/>
  </r>
  <r>
    <x v="5"/>
    <x v="0"/>
    <x v="46"/>
    <x v="3"/>
    <n v="7"/>
    <n v="15"/>
    <n v="2.1428571428571428"/>
    <n v="51000"/>
    <n v="7285.7142857142853"/>
    <n v="357"/>
    <n v="27"/>
    <n v="30"/>
    <n v="31"/>
    <n v="12"/>
    <n v="100"/>
    <n v="0.74399999999999999"/>
    <n v="57"/>
    <n v="43"/>
  </r>
  <r>
    <x v="5"/>
    <x v="1"/>
    <x v="46"/>
    <x v="5"/>
    <n v="9"/>
    <n v="18"/>
    <n v="2"/>
    <n v="61200"/>
    <n v="6800"/>
    <n v="370"/>
    <n v="22"/>
    <n v="33"/>
    <n v="32"/>
    <n v="15"/>
    <n v="102"/>
    <n v="0.72156862745098038"/>
    <n v="55"/>
    <n v="47"/>
  </r>
  <r>
    <x v="6"/>
    <x v="0"/>
    <x v="47"/>
    <x v="0"/>
    <n v="9"/>
    <n v="21"/>
    <n v="2.3333333333333335"/>
    <n v="71400"/>
    <n v="7933.333333333333"/>
    <n v="322"/>
    <n v="24"/>
    <n v="30"/>
    <n v="32"/>
    <n v="14"/>
    <n v="100"/>
    <n v="0.72799999999999998"/>
    <n v="54"/>
    <n v="46"/>
  </r>
  <r>
    <x v="6"/>
    <x v="1"/>
    <x v="47"/>
    <x v="1"/>
    <n v="9"/>
    <n v="22"/>
    <n v="2.4444444444444446"/>
    <n v="74800"/>
    <n v="8311.1111111111113"/>
    <n v="326"/>
    <n v="29"/>
    <n v="33"/>
    <n v="38"/>
    <n v="13"/>
    <n v="113"/>
    <n v="0.73805309734513269"/>
    <n v="62"/>
    <n v="51"/>
  </r>
  <r>
    <x v="6"/>
    <x v="0"/>
    <x v="48"/>
    <x v="2"/>
    <n v="9"/>
    <n v="21"/>
    <n v="2.3333333333333335"/>
    <n v="71400"/>
    <n v="7933.333333333333"/>
    <n v="339"/>
    <n v="25"/>
    <n v="32"/>
    <n v="31"/>
    <n v="14"/>
    <n v="102"/>
    <n v="0.73333333333333328"/>
    <n v="57"/>
    <n v="45"/>
  </r>
  <r>
    <x v="6"/>
    <x v="1"/>
    <x v="49"/>
    <x v="4"/>
    <n v="7"/>
    <n v="20"/>
    <n v="2.8571428571428572"/>
    <n v="68000"/>
    <n v="9714.2857142857138"/>
    <n v="390"/>
    <n v="21"/>
    <n v="33"/>
    <n v="35"/>
    <n v="13"/>
    <n v="102"/>
    <n v="0.72156862745098038"/>
    <n v="54"/>
    <n v="48"/>
  </r>
  <r>
    <x v="6"/>
    <x v="0"/>
    <x v="49"/>
    <x v="3"/>
    <n v="8"/>
    <n v="19"/>
    <n v="2.375"/>
    <n v="64600"/>
    <n v="8075"/>
    <n v="330"/>
    <n v="30"/>
    <n v="33"/>
    <n v="40"/>
    <n v="13"/>
    <n v="116"/>
    <n v="0.73793103448275865"/>
    <n v="63"/>
    <n v="53"/>
  </r>
  <r>
    <x v="6"/>
    <x v="1"/>
    <x v="50"/>
    <x v="5"/>
    <n v="9"/>
    <n v="15"/>
    <n v="1.6666666666666667"/>
    <n v="51000"/>
    <n v="5666.666666666667"/>
    <n v="392"/>
    <n v="40"/>
    <n v="30"/>
    <n v="30"/>
    <n v="12"/>
    <n v="112"/>
    <n v="0.77500000000000002"/>
    <n v="70"/>
    <n v="42"/>
  </r>
  <r>
    <x v="6"/>
    <x v="0"/>
    <x v="51"/>
    <x v="0"/>
    <n v="8"/>
    <n v="22"/>
    <n v="2.75"/>
    <n v="74800"/>
    <n v="9350"/>
    <n v="396"/>
    <n v="27"/>
    <n v="30"/>
    <n v="38"/>
    <n v="15"/>
    <n v="110"/>
    <n v="0.72545454545454546"/>
    <n v="57"/>
    <n v="53"/>
  </r>
  <r>
    <x v="6"/>
    <x v="1"/>
    <x v="51"/>
    <x v="1"/>
    <n v="9"/>
    <n v="20"/>
    <n v="2.2222222222222223"/>
    <n v="68000"/>
    <n v="7555.5555555555557"/>
    <n v="372"/>
    <n v="21"/>
    <n v="39"/>
    <n v="35"/>
    <n v="13"/>
    <n v="108"/>
    <n v="0.72592592592592597"/>
    <n v="60"/>
    <n v="48"/>
  </r>
  <r>
    <x v="6"/>
    <x v="0"/>
    <x v="52"/>
    <x v="2"/>
    <n v="8"/>
    <n v="16"/>
    <n v="2"/>
    <n v="54400"/>
    <n v="6800"/>
    <n v="352"/>
    <n v="23"/>
    <n v="39"/>
    <n v="32"/>
    <n v="14"/>
    <n v="108"/>
    <n v="0.73148148148148151"/>
    <n v="62"/>
    <n v="46"/>
  </r>
  <r>
    <x v="6"/>
    <x v="1"/>
    <x v="52"/>
    <x v="4"/>
    <n v="7"/>
    <n v="25"/>
    <n v="3.5714285714285716"/>
    <n v="85000"/>
    <n v="12142.857142857143"/>
    <n v="373"/>
    <n v="28"/>
    <n v="31"/>
    <n v="40"/>
    <n v="10"/>
    <n v="109"/>
    <n v="0.74128440366972481"/>
    <n v="59"/>
    <n v="50"/>
  </r>
  <r>
    <x v="7"/>
    <x v="0"/>
    <x v="53"/>
    <x v="3"/>
    <n v="8"/>
    <n v="16"/>
    <n v="2"/>
    <n v="54400"/>
    <n v="6800"/>
    <n v="394"/>
    <n v="27"/>
    <n v="37"/>
    <n v="37"/>
    <n v="10"/>
    <n v="111"/>
    <n v="0.74594594594594599"/>
    <n v="64"/>
    <n v="47"/>
  </r>
  <r>
    <x v="7"/>
    <x v="1"/>
    <x v="54"/>
    <x v="5"/>
    <n v="7"/>
    <n v="24"/>
    <n v="3.4285714285714284"/>
    <n v="81600"/>
    <n v="11657.142857142857"/>
    <n v="303"/>
    <n v="29"/>
    <n v="38"/>
    <n v="32"/>
    <n v="13"/>
    <n v="112"/>
    <n v="0.74821428571428572"/>
    <n v="67"/>
    <n v="45"/>
  </r>
  <r>
    <x v="7"/>
    <x v="0"/>
    <x v="54"/>
    <x v="0"/>
    <n v="8"/>
    <n v="23"/>
    <n v="2.875"/>
    <n v="78200"/>
    <n v="9775"/>
    <n v="382"/>
    <n v="23"/>
    <n v="33"/>
    <n v="33"/>
    <n v="11"/>
    <n v="100"/>
    <n v="0.73599999999999999"/>
    <n v="56"/>
    <n v="44"/>
  </r>
  <r>
    <x v="7"/>
    <x v="1"/>
    <x v="54"/>
    <x v="1"/>
    <n v="8"/>
    <n v="21"/>
    <n v="2.625"/>
    <n v="71400"/>
    <n v="8925"/>
    <n v="316"/>
    <n v="28"/>
    <n v="36"/>
    <n v="35"/>
    <n v="11"/>
    <n v="110"/>
    <n v="0.74727272727272731"/>
    <n v="64"/>
    <n v="46"/>
  </r>
  <r>
    <x v="7"/>
    <x v="0"/>
    <x v="55"/>
    <x v="2"/>
    <n v="7"/>
    <n v="17"/>
    <n v="2.4285714285714284"/>
    <n v="57800"/>
    <n v="8257.1428571428569"/>
    <n v="334"/>
    <n v="20"/>
    <n v="20"/>
    <n v="30"/>
    <n v="11"/>
    <n v="81"/>
    <n v="0.72098765432098766"/>
    <n v="40"/>
    <n v="41"/>
  </r>
  <r>
    <x v="7"/>
    <x v="1"/>
    <x v="55"/>
    <x v="4"/>
    <n v="9"/>
    <n v="21"/>
    <n v="2.3333333333333335"/>
    <n v="71400"/>
    <n v="7933.333333333333"/>
    <n v="391"/>
    <n v="27"/>
    <n v="31"/>
    <n v="35"/>
    <n v="13"/>
    <n v="106"/>
    <n v="0.73584905660377353"/>
    <n v="58"/>
    <n v="48"/>
  </r>
  <r>
    <x v="7"/>
    <x v="0"/>
    <x v="56"/>
    <x v="3"/>
    <n v="8"/>
    <n v="23"/>
    <n v="2.875"/>
    <n v="78200"/>
    <n v="9775"/>
    <n v="368"/>
    <n v="26"/>
    <n v="31"/>
    <n v="38"/>
    <n v="11"/>
    <n v="106"/>
    <n v="0.73584905660377353"/>
    <n v="57"/>
    <n v="49"/>
  </r>
  <r>
    <x v="7"/>
    <x v="1"/>
    <x v="56"/>
    <x v="5"/>
    <n v="8"/>
    <n v="16"/>
    <n v="2"/>
    <n v="54400"/>
    <n v="6800"/>
    <n v="376"/>
    <n v="33"/>
    <n v="36"/>
    <n v="20"/>
    <n v="11"/>
    <n v="100"/>
    <n v="0.78200000000000003"/>
    <n v="69"/>
    <n v="31"/>
  </r>
  <r>
    <x v="7"/>
    <x v="0"/>
    <x v="57"/>
    <x v="0"/>
    <n v="7"/>
    <n v="15"/>
    <n v="2.1428571428571428"/>
    <n v="51000"/>
    <n v="7285.7142857142853"/>
    <n v="359"/>
    <n v="25"/>
    <n v="37"/>
    <n v="34"/>
    <n v="10"/>
    <n v="106"/>
    <n v="0.74528301886792447"/>
    <n v="62"/>
    <n v="44"/>
  </r>
  <r>
    <x v="7"/>
    <x v="1"/>
    <x v="57"/>
    <x v="1"/>
    <n v="6"/>
    <n v="19"/>
    <n v="3.1666666666666665"/>
    <n v="64600"/>
    <n v="10766.666666666666"/>
    <n v="302"/>
    <n v="28"/>
    <n v="32"/>
    <n v="34"/>
    <n v="15"/>
    <n v="109"/>
    <n v="0.73394495412844041"/>
    <n v="60"/>
    <n v="49"/>
  </r>
  <r>
    <x v="8"/>
    <x v="0"/>
    <x v="58"/>
    <x v="2"/>
    <n v="7"/>
    <n v="17"/>
    <n v="2.4285714285714284"/>
    <n v="57800"/>
    <n v="8257.1428571428569"/>
    <n v="323"/>
    <n v="27"/>
    <n v="38"/>
    <n v="36"/>
    <n v="11"/>
    <n v="112"/>
    <n v="0.74464285714285716"/>
    <n v="65"/>
    <n v="47"/>
  </r>
  <r>
    <x v="8"/>
    <x v="1"/>
    <x v="59"/>
    <x v="4"/>
    <n v="9"/>
    <n v="16"/>
    <n v="1.7777777777777777"/>
    <n v="54400"/>
    <n v="6044.4444444444443"/>
    <n v="400"/>
    <n v="30"/>
    <n v="32"/>
    <n v="38"/>
    <n v="15"/>
    <n v="115"/>
    <n v="0.73391304347826092"/>
    <n v="62"/>
    <n v="53"/>
  </r>
  <r>
    <x v="8"/>
    <x v="0"/>
    <x v="60"/>
    <x v="3"/>
    <n v="9"/>
    <n v="17"/>
    <n v="1.8888888888888888"/>
    <n v="57800"/>
    <n v="6422.2222222222226"/>
    <n v="397"/>
    <n v="29"/>
    <n v="31"/>
    <n v="32"/>
    <n v="10"/>
    <n v="102"/>
    <n v="0.75490196078431371"/>
    <n v="60"/>
    <n v="42"/>
  </r>
  <r>
    <x v="8"/>
    <x v="1"/>
    <x v="60"/>
    <x v="5"/>
    <n v="9"/>
    <n v="15"/>
    <n v="1.6666666666666667"/>
    <n v="51000"/>
    <n v="5666.666666666667"/>
    <n v="327"/>
    <n v="35"/>
    <n v="40"/>
    <n v="22"/>
    <n v="13"/>
    <n v="110"/>
    <n v="0.77636363636363637"/>
    <n v="75"/>
    <n v="35"/>
  </r>
  <r>
    <x v="8"/>
    <x v="0"/>
    <x v="61"/>
    <x v="0"/>
    <n v="9"/>
    <n v="24"/>
    <n v="2.6666666666666665"/>
    <n v="81600"/>
    <n v="9066.6666666666661"/>
    <n v="327"/>
    <n v="20"/>
    <n v="34"/>
    <n v="32"/>
    <n v="10"/>
    <n v="96"/>
    <n v="0.73333333333333328"/>
    <n v="54"/>
    <n v="42"/>
  </r>
  <r>
    <x v="8"/>
    <x v="1"/>
    <x v="61"/>
    <x v="1"/>
    <n v="9"/>
    <n v="19"/>
    <n v="2.1111111111111112"/>
    <n v="64600"/>
    <n v="7177.7777777777774"/>
    <n v="317"/>
    <n v="25"/>
    <n v="32"/>
    <n v="38"/>
    <n v="13"/>
    <n v="108"/>
    <n v="0.72777777777777775"/>
    <n v="57"/>
    <n v="51"/>
  </r>
  <r>
    <x v="8"/>
    <x v="0"/>
    <x v="61"/>
    <x v="2"/>
    <n v="6"/>
    <n v="16"/>
    <n v="2.6666666666666665"/>
    <n v="54400"/>
    <n v="9066.6666666666661"/>
    <n v="365"/>
    <n v="30"/>
    <n v="35"/>
    <n v="33"/>
    <n v="14"/>
    <n v="112"/>
    <n v="0.74464285714285716"/>
    <n v="65"/>
    <n v="47"/>
  </r>
  <r>
    <x v="8"/>
    <x v="1"/>
    <x v="61"/>
    <x v="4"/>
    <n v="9"/>
    <n v="16"/>
    <n v="1.7777777777777777"/>
    <n v="54400"/>
    <n v="6044.4444444444443"/>
    <n v="396"/>
    <n v="25"/>
    <n v="39"/>
    <n v="37"/>
    <n v="11"/>
    <n v="112"/>
    <n v="0.73928571428571432"/>
    <n v="64"/>
    <n v="48"/>
  </r>
  <r>
    <x v="8"/>
    <x v="0"/>
    <x v="62"/>
    <x v="3"/>
    <n v="9"/>
    <n v="23"/>
    <n v="2.5555555555555554"/>
    <n v="78200"/>
    <n v="8688.8888888888887"/>
    <n v="319"/>
    <n v="27"/>
    <n v="38"/>
    <n v="40"/>
    <n v="13"/>
    <n v="118"/>
    <n v="0.73389830508474574"/>
    <n v="65"/>
    <n v="53"/>
  </r>
  <r>
    <x v="8"/>
    <x v="1"/>
    <x v="62"/>
    <x v="5"/>
    <n v="9"/>
    <n v="21"/>
    <n v="2.3333333333333335"/>
    <n v="71400"/>
    <n v="7933.333333333333"/>
    <n v="329"/>
    <n v="33"/>
    <n v="34"/>
    <n v="12"/>
    <n v="14"/>
    <n v="93"/>
    <n v="0.78494623655913975"/>
    <n v="67"/>
    <n v="26"/>
  </r>
  <r>
    <x v="8"/>
    <x v="0"/>
    <x v="63"/>
    <x v="0"/>
    <n v="9"/>
    <n v="25"/>
    <n v="2.7777777777777777"/>
    <n v="85000"/>
    <n v="9444.4444444444453"/>
    <n v="333"/>
    <n v="29"/>
    <n v="34"/>
    <n v="35"/>
    <n v="12"/>
    <n v="110"/>
    <n v="0.74545454545454548"/>
    <n v="63"/>
    <n v="47"/>
  </r>
  <r>
    <x v="9"/>
    <x v="1"/>
    <x v="64"/>
    <x v="1"/>
    <n v="8"/>
    <n v="22"/>
    <n v="2.75"/>
    <n v="74800"/>
    <n v="9350"/>
    <n v="386"/>
    <n v="20"/>
    <n v="39"/>
    <n v="38"/>
    <n v="12"/>
    <n v="109"/>
    <n v="0.7229357798165138"/>
    <n v="59"/>
    <n v="50"/>
  </r>
  <r>
    <x v="9"/>
    <x v="0"/>
    <x v="65"/>
    <x v="2"/>
    <n v="8"/>
    <n v="24"/>
    <n v="3"/>
    <n v="81600"/>
    <n v="10200"/>
    <n v="329"/>
    <n v="15"/>
    <n v="36"/>
    <n v="50"/>
    <n v="10"/>
    <n v="111"/>
    <n v="0.70090090090090085"/>
    <n v="51"/>
    <n v="60"/>
  </r>
  <r>
    <x v="9"/>
    <x v="1"/>
    <x v="66"/>
    <x v="4"/>
    <n v="8"/>
    <n v="22"/>
    <n v="2.75"/>
    <n v="74800"/>
    <n v="9350"/>
    <n v="332"/>
    <n v="22"/>
    <n v="39"/>
    <n v="32"/>
    <n v="11"/>
    <n v="104"/>
    <n v="0.7384615384615385"/>
    <n v="61"/>
    <n v="43"/>
  </r>
  <r>
    <x v="9"/>
    <x v="0"/>
    <x v="67"/>
    <x v="3"/>
    <n v="6"/>
    <n v="15"/>
    <n v="2.5"/>
    <n v="70000"/>
    <n v="11666.666666666666"/>
    <n v="384"/>
    <n v="21"/>
    <n v="37"/>
    <n v="39"/>
    <n v="11"/>
    <n v="108"/>
    <n v="0.72592592592592597"/>
    <n v="58"/>
    <n v="50"/>
  </r>
  <r>
    <x v="9"/>
    <x v="1"/>
    <x v="68"/>
    <x v="5"/>
    <n v="9"/>
    <n v="17"/>
    <n v="1.8888888888888888"/>
    <n v="57800"/>
    <n v="6422.2222222222226"/>
    <n v="327"/>
    <n v="21"/>
    <n v="38"/>
    <n v="36"/>
    <n v="12"/>
    <n v="107"/>
    <n v="0.7271028037383177"/>
    <n v="59"/>
    <n v="48"/>
  </r>
  <r>
    <x v="9"/>
    <x v="0"/>
    <x v="68"/>
    <x v="0"/>
    <n v="9"/>
    <n v="20"/>
    <n v="2.2222222222222223"/>
    <n v="68000"/>
    <n v="7555.5555555555557"/>
    <n v="396"/>
    <n v="24"/>
    <n v="39"/>
    <n v="31"/>
    <n v="10"/>
    <n v="104"/>
    <n v="0.74807692307692308"/>
    <n v="63"/>
    <n v="41"/>
  </r>
  <r>
    <x v="9"/>
    <x v="1"/>
    <x v="69"/>
    <x v="1"/>
    <n v="6"/>
    <n v="18"/>
    <n v="3"/>
    <n v="61200"/>
    <n v="10200"/>
    <n v="350"/>
    <n v="29"/>
    <n v="30"/>
    <n v="32"/>
    <n v="12"/>
    <n v="103"/>
    <n v="0.74757281553398058"/>
    <n v="59"/>
    <n v="44"/>
  </r>
  <r>
    <x v="9"/>
    <x v="0"/>
    <x v="70"/>
    <x v="2"/>
    <n v="8"/>
    <n v="21"/>
    <n v="2.625"/>
    <n v="71400"/>
    <n v="8925"/>
    <n v="300"/>
    <n v="14"/>
    <n v="39"/>
    <n v="34"/>
    <n v="14"/>
    <n v="101"/>
    <n v="0.70495049504950491"/>
    <n v="53"/>
    <n v="48"/>
  </r>
  <r>
    <x v="9"/>
    <x v="1"/>
    <x v="70"/>
    <x v="4"/>
    <n v="9"/>
    <n v="15"/>
    <n v="1.6666666666666667"/>
    <n v="51000"/>
    <n v="5666.666666666667"/>
    <n v="316"/>
    <n v="29"/>
    <n v="35"/>
    <n v="33"/>
    <n v="10"/>
    <n v="107"/>
    <n v="0.7551401869158878"/>
    <n v="64"/>
    <n v="43"/>
  </r>
  <r>
    <x v="9"/>
    <x v="0"/>
    <x v="71"/>
    <x v="3"/>
    <n v="9"/>
    <n v="15"/>
    <n v="1.6666666666666667"/>
    <n v="51000"/>
    <n v="5666.666666666667"/>
    <n v="384"/>
    <n v="21"/>
    <n v="37"/>
    <n v="39"/>
    <n v="11"/>
    <n v="108"/>
    <n v="0.72592592592592597"/>
    <n v="58"/>
    <n v="50"/>
  </r>
  <r>
    <x v="9"/>
    <x v="1"/>
    <x v="71"/>
    <x v="5"/>
    <n v="7"/>
    <n v="17"/>
    <n v="2.4285714285714284"/>
    <n v="57800"/>
    <n v="8257.1428571428569"/>
    <n v="327"/>
    <n v="33"/>
    <n v="44"/>
    <n v="36"/>
    <n v="12"/>
    <n v="125"/>
    <n v="0.75680000000000003"/>
    <n v="77"/>
    <n v="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9C2F33-8740-4ED4-8DC2-2B36BA5025B1}"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C79" firstHeaderRow="0" firstDataRow="1" firstDataCol="1"/>
  <pivotFields count="20">
    <pivotField showAll="0"/>
    <pivotField showAll="0">
      <items count="3">
        <item x="0"/>
        <item x="1"/>
        <item t="default"/>
      </items>
    </pivotField>
    <pivotField numFmtId="16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showAll="0">
      <items count="7">
        <item x="2"/>
        <item x="0"/>
        <item x="4"/>
        <item x="5"/>
        <item x="3"/>
        <item x="1"/>
        <item t="default"/>
      </items>
    </pivotField>
    <pivotField numFmtId="165" showAll="0"/>
    <pivotField dataField="1" showAll="0"/>
    <pivotField numFmtId="2" showAll="0"/>
    <pivotField numFmtId="166" showAll="0"/>
    <pivotField numFmtId="166" showAll="0"/>
    <pivotField dataField="1" numFmtId="1" showAll="0"/>
    <pivotField showAll="0"/>
    <pivotField showAll="0"/>
    <pivotField showAll="0"/>
    <pivotField showAll="0"/>
    <pivotField numFmtId="1" showAll="0"/>
    <pivotField numFmtId="2"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8"/>
  </rowFields>
  <rowItems count="73">
    <i>
      <x v="214"/>
    </i>
    <i>
      <x v="215"/>
    </i>
    <i>
      <x v="216"/>
    </i>
    <i>
      <x v="217"/>
    </i>
    <i>
      <x v="218"/>
    </i>
    <i>
      <x v="219"/>
    </i>
    <i>
      <x v="220"/>
    </i>
    <i>
      <x v="221"/>
    </i>
    <i>
      <x v="222"/>
    </i>
    <i>
      <x v="223"/>
    </i>
    <i>
      <x v="224"/>
    </i>
    <i>
      <x v="225"/>
    </i>
    <i>
      <x v="226"/>
    </i>
    <i>
      <x v="227"/>
    </i>
    <i>
      <x v="228"/>
    </i>
    <i>
      <x v="229"/>
    </i>
    <i>
      <x v="230"/>
    </i>
    <i>
      <x v="234"/>
    </i>
    <i>
      <x v="235"/>
    </i>
    <i>
      <x v="236"/>
    </i>
    <i>
      <x v="237"/>
    </i>
    <i>
      <x v="238"/>
    </i>
    <i>
      <x v="240"/>
    </i>
    <i>
      <x v="241"/>
    </i>
    <i>
      <x v="242"/>
    </i>
    <i>
      <x v="243"/>
    </i>
    <i>
      <x v="246"/>
    </i>
    <i>
      <x v="248"/>
    </i>
    <i>
      <x v="249"/>
    </i>
    <i>
      <x v="250"/>
    </i>
    <i>
      <x v="252"/>
    </i>
    <i>
      <x v="254"/>
    </i>
    <i>
      <x v="255"/>
    </i>
    <i>
      <x v="256"/>
    </i>
    <i>
      <x v="258"/>
    </i>
    <i>
      <x v="259"/>
    </i>
    <i>
      <x v="260"/>
    </i>
    <i>
      <x v="263"/>
    </i>
    <i>
      <x v="264"/>
    </i>
    <i>
      <x v="265"/>
    </i>
    <i>
      <x v="266"/>
    </i>
    <i>
      <x v="267"/>
    </i>
    <i>
      <x v="268"/>
    </i>
    <i>
      <x v="269"/>
    </i>
    <i>
      <x v="270"/>
    </i>
    <i>
      <x v="271"/>
    </i>
    <i>
      <x v="272"/>
    </i>
    <i>
      <x v="273"/>
    </i>
    <i>
      <x v="274"/>
    </i>
    <i>
      <x v="276"/>
    </i>
    <i>
      <x v="277"/>
    </i>
    <i>
      <x v="278"/>
    </i>
    <i>
      <x v="279"/>
    </i>
    <i>
      <x v="280"/>
    </i>
    <i>
      <x v="281"/>
    </i>
    <i>
      <x v="282"/>
    </i>
    <i>
      <x v="283"/>
    </i>
    <i>
      <x v="284"/>
    </i>
    <i>
      <x v="285"/>
    </i>
    <i>
      <x v="286"/>
    </i>
    <i>
      <x v="288"/>
    </i>
    <i>
      <x v="290"/>
    </i>
    <i>
      <x v="292"/>
    </i>
    <i>
      <x v="297"/>
    </i>
    <i>
      <x v="298"/>
    </i>
    <i>
      <x v="300"/>
    </i>
    <i>
      <x v="303"/>
    </i>
    <i>
      <x v="304"/>
    </i>
    <i>
      <x v="305"/>
    </i>
    <i>
      <x v="309"/>
    </i>
    <i>
      <x v="311"/>
    </i>
    <i>
      <x v="314"/>
    </i>
    <i t="grand">
      <x/>
    </i>
  </rowItems>
  <colFields count="1">
    <field x="-2"/>
  </colFields>
  <colItems count="2">
    <i>
      <x/>
    </i>
    <i i="1">
      <x v="1"/>
    </i>
  </colItems>
  <dataFields count="2">
    <dataField name="Call" fld="9" baseField="18" baseItem="214" numFmtId="1"/>
    <dataField name="Sale" fld="5" baseField="18" baseItem="214"/>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750980-232E-4D6E-8FB6-A4C10CF6345D}"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20">
    <pivotField showAll="0"/>
    <pivotField showAll="0">
      <items count="3">
        <item x="0"/>
        <item x="1"/>
        <item t="default"/>
      </items>
    </pivotField>
    <pivotField numFmtId="16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showAll="0">
      <items count="7">
        <item x="2"/>
        <item x="0"/>
        <item x="4"/>
        <item x="5"/>
        <item x="3"/>
        <item x="1"/>
        <item t="default"/>
      </items>
    </pivotField>
    <pivotField dataField="1" numFmtId="165" showAll="0"/>
    <pivotField dataField="1" showAll="0"/>
    <pivotField numFmtId="2" showAll="0"/>
    <pivotField dataField="1" numFmtId="166" showAll="0"/>
    <pivotField numFmtId="166" showAll="0"/>
    <pivotField numFmtId="1" showAll="0"/>
    <pivotField showAll="0"/>
    <pivotField showAll="0"/>
    <pivotField showAll="0"/>
    <pivotField showAll="0"/>
    <pivotField numFmtId="1" showAll="0"/>
    <pivotField numFmtId="2"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3">
    <i>
      <x/>
    </i>
    <i i="1">
      <x v="1"/>
    </i>
    <i i="2">
      <x v="2"/>
    </i>
  </colItems>
  <dataFields count="3">
    <dataField name="Sum of Revenue" fld="7" baseField="0" baseItem="0" numFmtId="167"/>
    <dataField name="Sum of Sales" fld="5" baseField="0" baseItem="0"/>
    <dataField name="Average of Hours" fld="4" subtotal="average" baseField="0" baseItem="1" numFmtId="165"/>
  </dataFields>
  <formats count="1">
    <format dxfId="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BFFA5B-A8DF-4184-96EC-897E73D60216}"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1:I22" firstHeaderRow="1" firstDataRow="1" firstDataCol="0"/>
  <pivotFields count="20">
    <pivotField showAll="0"/>
    <pivotField showAll="0">
      <items count="3">
        <item x="0"/>
        <item x="1"/>
        <item t="default"/>
      </items>
    </pivotField>
    <pivotField numFmtId="16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showAll="0">
      <items count="7">
        <item x="2"/>
        <item x="0"/>
        <item x="4"/>
        <item x="5"/>
        <item x="3"/>
        <item x="1"/>
        <item t="default"/>
      </items>
    </pivotField>
    <pivotField numFmtId="165" showAll="0"/>
    <pivotField showAll="0"/>
    <pivotField numFmtId="2" showAll="0"/>
    <pivotField numFmtId="166" showAll="0"/>
    <pivotField numFmtId="166" showAll="0"/>
    <pivotField numFmtId="1" showAll="0"/>
    <pivotField showAll="0"/>
    <pivotField showAll="0"/>
    <pivotField showAll="0"/>
    <pivotField showAll="0"/>
    <pivotField numFmtId="1" showAll="0"/>
    <pivotField dataField="1" numFmtId="2"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Client Satisfaction" fld="15"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42DCB1-5AA0-4058-A615-D8FE0AF66F1B}"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6:M17" firstHeaderRow="1" firstDataRow="1" firstDataCol="1"/>
  <pivotFields count="20">
    <pivotField axis="axisRow" showAll="0">
      <items count="11">
        <item x="7"/>
        <item x="0"/>
        <item x="4"/>
        <item x="3"/>
        <item x="5"/>
        <item x="1"/>
        <item x="8"/>
        <item x="2"/>
        <item x="9"/>
        <item x="6"/>
        <item t="default"/>
      </items>
    </pivotField>
    <pivotField showAll="0">
      <items count="3">
        <item x="0"/>
        <item x="1"/>
        <item t="default"/>
      </items>
    </pivotField>
    <pivotField numFmtId="16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showAll="0">
      <items count="7">
        <item x="2"/>
        <item x="0"/>
        <item x="4"/>
        <item x="5"/>
        <item x="3"/>
        <item x="1"/>
        <item t="default"/>
      </items>
    </pivotField>
    <pivotField numFmtId="165" showAll="0"/>
    <pivotField showAll="0"/>
    <pivotField numFmtId="2" showAll="0"/>
    <pivotField dataField="1" numFmtId="166" showAll="0"/>
    <pivotField numFmtId="166" showAll="0"/>
    <pivotField numFmtId="1" showAll="0"/>
    <pivotField showAll="0"/>
    <pivotField showAll="0"/>
    <pivotField showAll="0"/>
    <pivotField showAll="0"/>
    <pivotField numFmtId="1" showAll="0"/>
    <pivotField numFmtId="2"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11">
    <i>
      <x/>
    </i>
    <i>
      <x v="1"/>
    </i>
    <i>
      <x v="2"/>
    </i>
    <i>
      <x v="3"/>
    </i>
    <i>
      <x v="4"/>
    </i>
    <i>
      <x v="5"/>
    </i>
    <i>
      <x v="6"/>
    </i>
    <i>
      <x v="7"/>
    </i>
    <i>
      <x v="8"/>
    </i>
    <i>
      <x v="9"/>
    </i>
    <i t="grand">
      <x/>
    </i>
  </rowItems>
  <colItems count="1">
    <i/>
  </colItems>
  <dataFields count="1">
    <dataField name="Sum of Revenue" fld="7" baseField="0" baseItem="0" numFmtId="167"/>
  </dataFields>
  <formats count="1">
    <format dxfId="1">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F826FC-16E4-48D2-A54C-79F7818452A4}"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6:J13" firstHeaderRow="1" firstDataRow="1" firstDataCol="1"/>
  <pivotFields count="20">
    <pivotField showAll="0"/>
    <pivotField showAll="0">
      <items count="3">
        <item x="0"/>
        <item x="1"/>
        <item t="default"/>
      </items>
    </pivotField>
    <pivotField numFmtId="16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axis="axisRow" showAll="0">
      <items count="7">
        <item x="2"/>
        <item x="0"/>
        <item x="4"/>
        <item x="5"/>
        <item x="3"/>
        <item x="1"/>
        <item t="default"/>
      </items>
    </pivotField>
    <pivotField numFmtId="165" showAll="0"/>
    <pivotField dataField="1" showAll="0"/>
    <pivotField numFmtId="2" showAll="0"/>
    <pivotField numFmtId="166" showAll="0"/>
    <pivotField numFmtId="166" showAll="0"/>
    <pivotField numFmtId="1" showAll="0"/>
    <pivotField showAll="0"/>
    <pivotField showAll="0"/>
    <pivotField showAll="0"/>
    <pivotField showAll="0"/>
    <pivotField numFmtId="1" showAll="0"/>
    <pivotField numFmtId="2"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i>
    <i>
      <x v="1"/>
    </i>
    <i>
      <x v="2"/>
    </i>
    <i>
      <x v="3"/>
    </i>
    <i>
      <x v="4"/>
    </i>
    <i>
      <x v="5"/>
    </i>
    <i t="grand">
      <x/>
    </i>
  </rowItems>
  <colItems count="1">
    <i/>
  </colItems>
  <dataFields count="1">
    <dataField name="Sum of Sales" fld="5" baseField="0" baseItem="0"/>
  </dataFields>
  <chartFormats count="7">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0"/>
          </reference>
        </references>
      </pivotArea>
    </chartFormat>
    <chartFormat chart="4" format="4">
      <pivotArea type="data" outline="0" fieldPosition="0">
        <references count="2">
          <reference field="4294967294" count="1" selected="0">
            <x v="0"/>
          </reference>
          <reference field="3" count="1" selected="0">
            <x v="1"/>
          </reference>
        </references>
      </pivotArea>
    </chartFormat>
    <chartFormat chart="4" format="5">
      <pivotArea type="data" outline="0" fieldPosition="0">
        <references count="2">
          <reference field="4294967294" count="1" selected="0">
            <x v="0"/>
          </reference>
          <reference field="3" count="1" selected="0">
            <x v="2"/>
          </reference>
        </references>
      </pivotArea>
    </chartFormat>
    <chartFormat chart="4" format="6">
      <pivotArea type="data" outline="0" fieldPosition="0">
        <references count="2">
          <reference field="4294967294" count="1" selected="0">
            <x v="0"/>
          </reference>
          <reference field="3" count="1" selected="0">
            <x v="3"/>
          </reference>
        </references>
      </pivotArea>
    </chartFormat>
    <chartFormat chart="4" format="7">
      <pivotArea type="data" outline="0" fieldPosition="0">
        <references count="2">
          <reference field="4294967294" count="1" selected="0">
            <x v="0"/>
          </reference>
          <reference field="3" count="1" selected="0">
            <x v="4"/>
          </reference>
        </references>
      </pivotArea>
    </chartFormat>
    <chartFormat chart="4" format="8">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C33888-77F3-4C52-A210-75C28B9C4BF9}"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6:G79" firstHeaderRow="1" firstDataRow="1" firstDataCol="1"/>
  <pivotFields count="20">
    <pivotField showAll="0"/>
    <pivotField showAll="0">
      <items count="3">
        <item x="0"/>
        <item x="1"/>
        <item t="default"/>
      </items>
    </pivotField>
    <pivotField numFmtId="16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showAll="0">
      <items count="7">
        <item x="2"/>
        <item x="0"/>
        <item x="4"/>
        <item x="5"/>
        <item x="3"/>
        <item x="1"/>
        <item t="default"/>
      </items>
    </pivotField>
    <pivotField numFmtId="165" showAll="0"/>
    <pivotField showAll="0"/>
    <pivotField numFmtId="2" showAll="0"/>
    <pivotField dataField="1" numFmtId="166" showAll="0"/>
    <pivotField numFmtId="166" showAll="0"/>
    <pivotField numFmtId="1" showAll="0"/>
    <pivotField showAll="0"/>
    <pivotField showAll="0"/>
    <pivotField showAll="0"/>
    <pivotField showAll="0"/>
    <pivotField numFmtId="1" showAll="0"/>
    <pivotField numFmtId="2"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8"/>
  </rowFields>
  <rowItems count="73">
    <i>
      <x v="214"/>
    </i>
    <i>
      <x v="215"/>
    </i>
    <i>
      <x v="216"/>
    </i>
    <i>
      <x v="217"/>
    </i>
    <i>
      <x v="218"/>
    </i>
    <i>
      <x v="219"/>
    </i>
    <i>
      <x v="220"/>
    </i>
    <i>
      <x v="221"/>
    </i>
    <i>
      <x v="222"/>
    </i>
    <i>
      <x v="223"/>
    </i>
    <i>
      <x v="224"/>
    </i>
    <i>
      <x v="225"/>
    </i>
    <i>
      <x v="226"/>
    </i>
    <i>
      <x v="227"/>
    </i>
    <i>
      <x v="228"/>
    </i>
    <i>
      <x v="229"/>
    </i>
    <i>
      <x v="230"/>
    </i>
    <i>
      <x v="234"/>
    </i>
    <i>
      <x v="235"/>
    </i>
    <i>
      <x v="236"/>
    </i>
    <i>
      <x v="237"/>
    </i>
    <i>
      <x v="238"/>
    </i>
    <i>
      <x v="240"/>
    </i>
    <i>
      <x v="241"/>
    </i>
    <i>
      <x v="242"/>
    </i>
    <i>
      <x v="243"/>
    </i>
    <i>
      <x v="246"/>
    </i>
    <i>
      <x v="248"/>
    </i>
    <i>
      <x v="249"/>
    </i>
    <i>
      <x v="250"/>
    </i>
    <i>
      <x v="252"/>
    </i>
    <i>
      <x v="254"/>
    </i>
    <i>
      <x v="255"/>
    </i>
    <i>
      <x v="256"/>
    </i>
    <i>
      <x v="258"/>
    </i>
    <i>
      <x v="259"/>
    </i>
    <i>
      <x v="260"/>
    </i>
    <i>
      <x v="263"/>
    </i>
    <i>
      <x v="264"/>
    </i>
    <i>
      <x v="265"/>
    </i>
    <i>
      <x v="266"/>
    </i>
    <i>
      <x v="267"/>
    </i>
    <i>
      <x v="268"/>
    </i>
    <i>
      <x v="269"/>
    </i>
    <i>
      <x v="270"/>
    </i>
    <i>
      <x v="271"/>
    </i>
    <i>
      <x v="272"/>
    </i>
    <i>
      <x v="273"/>
    </i>
    <i>
      <x v="274"/>
    </i>
    <i>
      <x v="276"/>
    </i>
    <i>
      <x v="277"/>
    </i>
    <i>
      <x v="278"/>
    </i>
    <i>
      <x v="279"/>
    </i>
    <i>
      <x v="280"/>
    </i>
    <i>
      <x v="281"/>
    </i>
    <i>
      <x v="282"/>
    </i>
    <i>
      <x v="283"/>
    </i>
    <i>
      <x v="284"/>
    </i>
    <i>
      <x v="285"/>
    </i>
    <i>
      <x v="286"/>
    </i>
    <i>
      <x v="288"/>
    </i>
    <i>
      <x v="290"/>
    </i>
    <i>
      <x v="292"/>
    </i>
    <i>
      <x v="297"/>
    </i>
    <i>
      <x v="298"/>
    </i>
    <i>
      <x v="300"/>
    </i>
    <i>
      <x v="303"/>
    </i>
    <i>
      <x v="304"/>
    </i>
    <i>
      <x v="305"/>
    </i>
    <i>
      <x v="309"/>
    </i>
    <i>
      <x v="311"/>
    </i>
    <i>
      <x v="314"/>
    </i>
    <i t="grand">
      <x/>
    </i>
  </rowItems>
  <colItems count="1">
    <i/>
  </colItems>
  <dataFields count="1">
    <dataField name="Sum of Revenue" fld="7" baseField="0" baseItem="0" numFmtId="167"/>
  </dataFields>
  <formats count="2">
    <format dxfId="3">
      <pivotArea collapsedLevelsAreSubtotals="1" fieldPosition="0">
        <references count="1">
          <reference field="18" count="1">
            <x v="214"/>
          </reference>
        </references>
      </pivotArea>
    </format>
    <format dxfId="2">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88C2418-737D-4D6E-B440-443EF03B7D56}" sourceName="Product">
  <pivotTables>
    <pivotTable tabId="4" name="PivotTable1"/>
    <pivotTable tabId="4" name="PivotTable5"/>
    <pivotTable tabId="4" name="PivotTable6"/>
    <pivotTable tabId="4" name="PivotTable7"/>
    <pivotTable tabId="4" name="PivotTable8"/>
    <pivotTable tabId="4" name="PivotTable9"/>
  </pivotTables>
  <data>
    <tabular pivotCacheId="149486980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ECB0059-4F84-46AA-9F40-68CADDD02F55}" sourceName="Region">
  <pivotTables>
    <pivotTable tabId="4" name="PivotTable1"/>
    <pivotTable tabId="4" name="PivotTable5"/>
    <pivotTable tabId="4" name="PivotTable6"/>
    <pivotTable tabId="4" name="PivotTable7"/>
    <pivotTable tabId="4" name="PivotTable8"/>
    <pivotTable tabId="4" name="PivotTable9"/>
  </pivotTables>
  <data>
    <tabular pivotCacheId="1494869805">
      <items count="6">
        <i x="2" s="1"/>
        <i x="0" s="1"/>
        <i x="4" s="1"/>
        <i x="5"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ale_Date" xr10:uid="{03250674-C320-446B-BB99-10D6C8AF82BD}" sourceName="Months (Sale Date)">
  <pivotTables>
    <pivotTable tabId="4" name="PivotTable1"/>
    <pivotTable tabId="4" name="PivotTable5"/>
    <pivotTable tabId="4" name="PivotTable6"/>
    <pivotTable tabId="4" name="PivotTable7"/>
    <pivotTable tabId="4" name="PivotTable8"/>
    <pivotTable tabId="4" name="PivotTable9"/>
  </pivotTables>
  <data>
    <tabular pivotCacheId="1494869805">
      <items count="14">
        <i x="8" s="1"/>
        <i x="9" s="1"/>
        <i x="10" s="1"/>
        <i x="11" s="1"/>
        <i x="1" s="1" nd="1"/>
        <i x="2" s="1" nd="1"/>
        <i x="3" s="1" nd="1"/>
        <i x="4" s="1" nd="1"/>
        <i x="5" s="1" nd="1"/>
        <i x="6" s="1" nd="1"/>
        <i x="7" s="1" nd="1"/>
        <i x="12" s="1" nd="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72342907-C800-449C-8703-FD09606DAF5C}" cache="Slicer_Product" caption="Product" rowHeight="260350"/>
  <slicer name="Region" xr10:uid="{22C7CB3D-AF43-4AF5-B0AB-863C44D62F74}" cache="Slicer_Region" caption="Region" rowHeight="260350"/>
  <slicer name="Months (Sale Date)" xr10:uid="{2888ACB6-7B2B-46F9-BF05-FE2E2620B5B0}" cache="Slicer_Months__Sale_Date" caption="Months (Sale Date)" rowHeight="260350"/>
</slicers>
</file>

<file path=xl/theme/theme1.xml><?xml version="1.0" encoding="utf-8"?>
<a:theme xmlns:a="http://schemas.openxmlformats.org/drawingml/2006/main" name="Office 2013 - 2022 Theme">
  <a:themeElements>
    <a:clrScheme name="Custom 6">
      <a:dk1>
        <a:sysClr val="windowText" lastClr="000000"/>
      </a:dk1>
      <a:lt1>
        <a:sysClr val="window" lastClr="FFFFFF"/>
      </a:lt1>
      <a:dk2>
        <a:srgbClr val="44546A"/>
      </a:dk2>
      <a:lt2>
        <a:srgbClr val="E7E6E6"/>
      </a:lt2>
      <a:accent1>
        <a:srgbClr val="4472C4"/>
      </a:accent1>
      <a:accent2>
        <a:srgbClr val="ED7D31"/>
      </a:accent2>
      <a:accent3>
        <a:srgbClr val="92D050"/>
      </a:accent3>
      <a:accent4>
        <a:srgbClr val="FFC000"/>
      </a:accent4>
      <a:accent5>
        <a:srgbClr val="FF0000"/>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91D82-C58A-4CFD-96E0-E62A68F2737E}">
  <dimension ref="A1:R121"/>
  <sheetViews>
    <sheetView workbookViewId="0">
      <pane ySplit="1" topLeftCell="A2" activePane="bottomLeft" state="frozen"/>
      <selection activeCell="G17" sqref="G17"/>
      <selection pane="bottomLeft" activeCell="G105" sqref="A1:R121"/>
    </sheetView>
  </sheetViews>
  <sheetFormatPr defaultColWidth="9.109375" defaultRowHeight="12.6" x14ac:dyDescent="0.2"/>
  <cols>
    <col min="1" max="1" width="14.44140625" style="1" customWidth="1"/>
    <col min="2" max="2" width="14.5546875" style="1" customWidth="1"/>
    <col min="3" max="3" width="15.77734375" style="1" customWidth="1"/>
    <col min="4" max="4" width="16.33203125" style="1" customWidth="1"/>
    <col min="5" max="5" width="13.6640625" style="1" bestFit="1" customWidth="1"/>
    <col min="6" max="6" width="8" style="1" customWidth="1"/>
    <col min="7" max="7" width="16.5546875" style="1" bestFit="1" customWidth="1"/>
    <col min="8" max="8" width="10.33203125" style="1" bestFit="1" customWidth="1"/>
    <col min="9" max="9" width="20.109375" style="1" bestFit="1" customWidth="1"/>
    <col min="10" max="10" width="8.44140625" style="1" customWidth="1"/>
    <col min="11" max="11" width="10.88671875" style="1" bestFit="1" customWidth="1"/>
    <col min="12" max="12" width="6.5546875" style="1" bestFit="1" customWidth="1"/>
    <col min="13" max="13" width="5.33203125" style="1" bestFit="1" customWidth="1"/>
    <col min="14" max="14" width="6" style="1" bestFit="1" customWidth="1"/>
    <col min="15" max="15" width="8.44140625" style="1" customWidth="1"/>
    <col min="16" max="16" width="23.21875" style="1" customWidth="1"/>
    <col min="17" max="17" width="9.109375" style="1"/>
    <col min="18" max="18" width="11.109375" style="1" customWidth="1"/>
    <col min="19" max="16384" width="9.109375" style="1"/>
  </cols>
  <sheetData>
    <row r="1" spans="1:18" ht="13.2" x14ac:dyDescent="0.2">
      <c r="A1" s="2" t="s">
        <v>6</v>
      </c>
      <c r="B1" s="2" t="s">
        <v>7</v>
      </c>
      <c r="C1" s="2" t="s">
        <v>8</v>
      </c>
      <c r="D1" s="2" t="s">
        <v>9</v>
      </c>
      <c r="E1" s="2" t="s">
        <v>10</v>
      </c>
      <c r="F1" s="2" t="s">
        <v>11</v>
      </c>
      <c r="G1" s="2" t="s">
        <v>12</v>
      </c>
      <c r="H1" s="2" t="s">
        <v>13</v>
      </c>
      <c r="I1" s="2" t="s">
        <v>14</v>
      </c>
      <c r="J1" s="2" t="s">
        <v>15</v>
      </c>
      <c r="K1" s="2" t="s">
        <v>16</v>
      </c>
      <c r="L1" s="2" t="s">
        <v>17</v>
      </c>
      <c r="M1" s="2" t="s">
        <v>18</v>
      </c>
      <c r="N1" s="2" t="s">
        <v>19</v>
      </c>
      <c r="O1" s="2" t="s">
        <v>20</v>
      </c>
      <c r="P1" s="2" t="s">
        <v>21</v>
      </c>
      <c r="Q1" s="2" t="s">
        <v>22</v>
      </c>
      <c r="R1" s="2" t="s">
        <v>23</v>
      </c>
    </row>
    <row r="2" spans="1:18" ht="13.2" x14ac:dyDescent="0.25">
      <c r="A2" s="3" t="s">
        <v>24</v>
      </c>
      <c r="B2" s="3" t="s">
        <v>25</v>
      </c>
      <c r="C2" s="4">
        <v>45139</v>
      </c>
      <c r="D2" s="5" t="s">
        <v>0</v>
      </c>
      <c r="E2" s="6">
        <v>9</v>
      </c>
      <c r="F2" s="3">
        <v>22</v>
      </c>
      <c r="G2" s="7">
        <f>F2/E2</f>
        <v>2.4444444444444446</v>
      </c>
      <c r="H2" s="8">
        <v>74800</v>
      </c>
      <c r="I2" s="8">
        <f>H2/E2</f>
        <v>8311.1111111111113</v>
      </c>
      <c r="J2" s="9">
        <v>358</v>
      </c>
      <c r="K2" s="3">
        <v>24</v>
      </c>
      <c r="L2" s="3">
        <v>40</v>
      </c>
      <c r="M2" s="3">
        <v>32</v>
      </c>
      <c r="N2" s="3">
        <v>15</v>
      </c>
      <c r="O2" s="9">
        <f>SUM(K2:N2)</f>
        <v>111</v>
      </c>
      <c r="P2" s="7">
        <f>(K2*5+L2*4+M2*3+N2*2)/(O2*5)</f>
        <v>0.7315315315315315</v>
      </c>
      <c r="Q2" s="3">
        <f>K2+L2</f>
        <v>64</v>
      </c>
      <c r="R2" s="3">
        <f>M2+N2</f>
        <v>47</v>
      </c>
    </row>
    <row r="3" spans="1:18" ht="13.2" x14ac:dyDescent="0.25">
      <c r="A3" s="3" t="s">
        <v>24</v>
      </c>
      <c r="B3" s="3" t="s">
        <v>26</v>
      </c>
      <c r="C3" s="4">
        <v>45140</v>
      </c>
      <c r="D3" s="5" t="s">
        <v>3</v>
      </c>
      <c r="E3" s="6">
        <v>8</v>
      </c>
      <c r="F3" s="3">
        <v>19</v>
      </c>
      <c r="G3" s="7">
        <f t="shared" ref="G3:G66" si="0">F3/E3</f>
        <v>2.375</v>
      </c>
      <c r="H3" s="8">
        <v>64600</v>
      </c>
      <c r="I3" s="8">
        <f t="shared" ref="I3:I66" si="1">H3/E3</f>
        <v>8075</v>
      </c>
      <c r="J3" s="9">
        <v>323</v>
      </c>
      <c r="K3" s="3">
        <v>20</v>
      </c>
      <c r="L3" s="3">
        <v>35</v>
      </c>
      <c r="M3" s="3">
        <v>34</v>
      </c>
      <c r="N3" s="3">
        <v>15</v>
      </c>
      <c r="O3" s="9">
        <f t="shared" ref="O3:O66" si="2">SUM(K3:N3)</f>
        <v>104</v>
      </c>
      <c r="P3" s="7">
        <f t="shared" ref="P3:P66" si="3">(K3*5+L3*4+M3*3+N3*2)/(O3*5)</f>
        <v>0.7153846153846154</v>
      </c>
      <c r="Q3" s="3">
        <f t="shared" ref="Q3:Q84" si="4">K3+L3</f>
        <v>55</v>
      </c>
      <c r="R3" s="3">
        <f t="shared" ref="R3:R84" si="5">M3+N3</f>
        <v>49</v>
      </c>
    </row>
    <row r="4" spans="1:18" ht="13.2" x14ac:dyDescent="0.25">
      <c r="A4" s="3" t="s">
        <v>24</v>
      </c>
      <c r="B4" s="3" t="s">
        <v>26</v>
      </c>
      <c r="C4" s="4">
        <v>45140</v>
      </c>
      <c r="D4" s="5" t="s">
        <v>4</v>
      </c>
      <c r="E4" s="6">
        <v>6</v>
      </c>
      <c r="F4" s="3">
        <v>45</v>
      </c>
      <c r="G4" s="7">
        <f t="shared" si="0"/>
        <v>7.5</v>
      </c>
      <c r="H4" s="8">
        <v>90000</v>
      </c>
      <c r="I4" s="8">
        <f t="shared" si="1"/>
        <v>15000</v>
      </c>
      <c r="J4" s="9">
        <v>400</v>
      </c>
      <c r="K4" s="3">
        <v>35</v>
      </c>
      <c r="L4" s="3">
        <v>30</v>
      </c>
      <c r="M4" s="3">
        <v>20</v>
      </c>
      <c r="N4" s="3">
        <v>40</v>
      </c>
      <c r="O4" s="9">
        <f t="shared" si="2"/>
        <v>125</v>
      </c>
      <c r="P4" s="7">
        <f t="shared" si="3"/>
        <v>0.69599999999999995</v>
      </c>
      <c r="Q4" s="3">
        <f t="shared" si="4"/>
        <v>65</v>
      </c>
      <c r="R4" s="3">
        <f t="shared" si="5"/>
        <v>60</v>
      </c>
    </row>
    <row r="5" spans="1:18" ht="13.2" x14ac:dyDescent="0.25">
      <c r="A5" s="3" t="s">
        <v>27</v>
      </c>
      <c r="B5" s="3" t="s">
        <v>26</v>
      </c>
      <c r="C5" s="4">
        <v>45141</v>
      </c>
      <c r="D5" s="5" t="s">
        <v>5</v>
      </c>
      <c r="E5" s="6">
        <v>6</v>
      </c>
      <c r="F5" s="3">
        <v>50</v>
      </c>
      <c r="G5" s="7">
        <f t="shared" si="0"/>
        <v>8.3333333333333339</v>
      </c>
      <c r="H5" s="8">
        <v>80000</v>
      </c>
      <c r="I5" s="8">
        <f t="shared" si="1"/>
        <v>13333.333333333334</v>
      </c>
      <c r="J5" s="9">
        <v>333</v>
      </c>
      <c r="K5" s="3">
        <v>50</v>
      </c>
      <c r="L5" s="3">
        <v>30</v>
      </c>
      <c r="M5" s="3">
        <v>20</v>
      </c>
      <c r="N5" s="3">
        <v>10</v>
      </c>
      <c r="O5" s="9">
        <f t="shared" si="2"/>
        <v>110</v>
      </c>
      <c r="P5" s="7">
        <f t="shared" si="3"/>
        <v>0.81818181818181823</v>
      </c>
      <c r="Q5" s="3">
        <f t="shared" si="4"/>
        <v>80</v>
      </c>
      <c r="R5" s="3">
        <f t="shared" si="5"/>
        <v>30</v>
      </c>
    </row>
    <row r="6" spans="1:18" ht="13.2" x14ac:dyDescent="0.25">
      <c r="A6" s="3" t="s">
        <v>28</v>
      </c>
      <c r="B6" s="3" t="s">
        <v>26</v>
      </c>
      <c r="C6" s="4">
        <v>45141</v>
      </c>
      <c r="D6" s="5" t="s">
        <v>5</v>
      </c>
      <c r="E6" s="6">
        <v>7</v>
      </c>
      <c r="F6" s="3">
        <v>55</v>
      </c>
      <c r="G6" s="7">
        <f t="shared" si="0"/>
        <v>7.8571428571428568</v>
      </c>
      <c r="H6" s="8">
        <v>80000</v>
      </c>
      <c r="I6" s="8">
        <f t="shared" si="1"/>
        <v>11428.571428571429</v>
      </c>
      <c r="J6" s="9">
        <v>500</v>
      </c>
      <c r="K6" s="3">
        <v>50</v>
      </c>
      <c r="L6" s="3">
        <v>30</v>
      </c>
      <c r="M6" s="3">
        <v>20</v>
      </c>
      <c r="N6" s="3">
        <v>10</v>
      </c>
      <c r="O6" s="9">
        <f t="shared" si="2"/>
        <v>110</v>
      </c>
      <c r="P6" s="7">
        <f t="shared" si="3"/>
        <v>0.81818181818181823</v>
      </c>
      <c r="Q6" s="3">
        <f t="shared" si="4"/>
        <v>80</v>
      </c>
      <c r="R6" s="3">
        <f t="shared" si="5"/>
        <v>30</v>
      </c>
    </row>
    <row r="7" spans="1:18" ht="13.2" x14ac:dyDescent="0.25">
      <c r="A7" s="3" t="s">
        <v>29</v>
      </c>
      <c r="B7" s="3" t="s">
        <v>26</v>
      </c>
      <c r="C7" s="4">
        <v>45142</v>
      </c>
      <c r="D7" s="5" t="s">
        <v>0</v>
      </c>
      <c r="E7" s="6">
        <v>6</v>
      </c>
      <c r="F7" s="3">
        <v>60</v>
      </c>
      <c r="G7" s="7">
        <f t="shared" si="0"/>
        <v>10</v>
      </c>
      <c r="H7" s="8">
        <v>120000</v>
      </c>
      <c r="I7" s="8">
        <f t="shared" si="1"/>
        <v>20000</v>
      </c>
      <c r="J7" s="9">
        <v>250</v>
      </c>
      <c r="K7" s="3">
        <v>50</v>
      </c>
      <c r="L7" s="3">
        <v>30</v>
      </c>
      <c r="M7" s="3">
        <v>20</v>
      </c>
      <c r="N7" s="3">
        <v>10</v>
      </c>
      <c r="O7" s="9">
        <f t="shared" si="2"/>
        <v>110</v>
      </c>
      <c r="P7" s="7">
        <f t="shared" si="3"/>
        <v>0.81818181818181823</v>
      </c>
      <c r="Q7" s="3">
        <f t="shared" si="4"/>
        <v>80</v>
      </c>
      <c r="R7" s="3">
        <f t="shared" si="5"/>
        <v>30</v>
      </c>
    </row>
    <row r="8" spans="1:18" ht="13.2" x14ac:dyDescent="0.25">
      <c r="A8" s="3" t="s">
        <v>30</v>
      </c>
      <c r="B8" s="3" t="s">
        <v>25</v>
      </c>
      <c r="C8" s="4">
        <v>45143</v>
      </c>
      <c r="D8" s="5" t="s">
        <v>3</v>
      </c>
      <c r="E8" s="6">
        <v>6</v>
      </c>
      <c r="F8" s="3">
        <v>18</v>
      </c>
      <c r="G8" s="7">
        <f t="shared" si="0"/>
        <v>3</v>
      </c>
      <c r="H8" s="8">
        <v>70000</v>
      </c>
      <c r="I8" s="8">
        <f t="shared" si="1"/>
        <v>11666.666666666666</v>
      </c>
      <c r="J8" s="9">
        <v>340</v>
      </c>
      <c r="K8" s="3">
        <v>77</v>
      </c>
      <c r="L8" s="3">
        <v>60</v>
      </c>
      <c r="M8" s="3">
        <v>12</v>
      </c>
      <c r="N8" s="3">
        <v>17</v>
      </c>
      <c r="O8" s="9">
        <f t="shared" si="2"/>
        <v>166</v>
      </c>
      <c r="P8" s="7">
        <f t="shared" si="3"/>
        <v>0.83734939759036142</v>
      </c>
      <c r="Q8" s="3">
        <f t="shared" si="4"/>
        <v>137</v>
      </c>
      <c r="R8" s="3">
        <f t="shared" si="5"/>
        <v>29</v>
      </c>
    </row>
    <row r="9" spans="1:18" ht="13.2" x14ac:dyDescent="0.25">
      <c r="A9" s="3" t="s">
        <v>31</v>
      </c>
      <c r="B9" s="3" t="s">
        <v>25</v>
      </c>
      <c r="C9" s="4">
        <v>45143</v>
      </c>
      <c r="D9" s="5" t="s">
        <v>1</v>
      </c>
      <c r="E9" s="6">
        <v>8</v>
      </c>
      <c r="F9" s="3">
        <v>18</v>
      </c>
      <c r="G9" s="7">
        <f t="shared" si="0"/>
        <v>2.25</v>
      </c>
      <c r="H9" s="8">
        <v>77700</v>
      </c>
      <c r="I9" s="8">
        <f t="shared" si="1"/>
        <v>9712.5</v>
      </c>
      <c r="J9" s="9">
        <v>400</v>
      </c>
      <c r="K9" s="3">
        <v>66</v>
      </c>
      <c r="L9" s="3">
        <v>38</v>
      </c>
      <c r="M9" s="3">
        <v>11</v>
      </c>
      <c r="N9" s="3">
        <v>6</v>
      </c>
      <c r="O9" s="9">
        <f t="shared" si="2"/>
        <v>121</v>
      </c>
      <c r="P9" s="7">
        <f t="shared" si="3"/>
        <v>0.87107438016528926</v>
      </c>
      <c r="Q9" s="3">
        <f t="shared" si="4"/>
        <v>104</v>
      </c>
      <c r="R9" s="3">
        <f t="shared" si="5"/>
        <v>17</v>
      </c>
    </row>
    <row r="10" spans="1:18" ht="13.2" x14ac:dyDescent="0.25">
      <c r="A10" s="3" t="s">
        <v>32</v>
      </c>
      <c r="B10" s="3" t="s">
        <v>25</v>
      </c>
      <c r="C10" s="4">
        <v>45143</v>
      </c>
      <c r="D10" s="5" t="s">
        <v>2</v>
      </c>
      <c r="E10" s="6">
        <v>9</v>
      </c>
      <c r="F10" s="3">
        <v>18</v>
      </c>
      <c r="G10" s="7">
        <f t="shared" si="0"/>
        <v>2</v>
      </c>
      <c r="H10" s="8">
        <v>70000</v>
      </c>
      <c r="I10" s="8">
        <f t="shared" si="1"/>
        <v>7777.7777777777774</v>
      </c>
      <c r="J10" s="9">
        <v>433</v>
      </c>
      <c r="K10" s="3">
        <v>120</v>
      </c>
      <c r="L10" s="3">
        <v>77</v>
      </c>
      <c r="M10" s="3">
        <v>18</v>
      </c>
      <c r="N10" s="3">
        <v>7</v>
      </c>
      <c r="O10" s="9">
        <f t="shared" si="2"/>
        <v>222</v>
      </c>
      <c r="P10" s="7">
        <f t="shared" si="3"/>
        <v>0.87927927927927929</v>
      </c>
      <c r="Q10" s="3">
        <f t="shared" si="4"/>
        <v>197</v>
      </c>
      <c r="R10" s="3">
        <f t="shared" si="5"/>
        <v>25</v>
      </c>
    </row>
    <row r="11" spans="1:18" ht="13.2" x14ac:dyDescent="0.25">
      <c r="A11" s="3" t="s">
        <v>33</v>
      </c>
      <c r="B11" s="3" t="s">
        <v>25</v>
      </c>
      <c r="C11" s="4">
        <v>45144</v>
      </c>
      <c r="D11" s="5" t="s">
        <v>3</v>
      </c>
      <c r="E11" s="6">
        <v>9</v>
      </c>
      <c r="F11" s="3">
        <v>18</v>
      </c>
      <c r="G11" s="7">
        <f t="shared" si="0"/>
        <v>2</v>
      </c>
      <c r="H11" s="8">
        <v>60000</v>
      </c>
      <c r="I11" s="8">
        <f t="shared" si="1"/>
        <v>6666.666666666667</v>
      </c>
      <c r="J11" s="9">
        <v>355</v>
      </c>
      <c r="K11" s="3">
        <v>100</v>
      </c>
      <c r="L11" s="3">
        <v>99</v>
      </c>
      <c r="M11" s="3">
        <v>12</v>
      </c>
      <c r="N11" s="3">
        <v>17</v>
      </c>
      <c r="O11" s="9">
        <f t="shared" si="2"/>
        <v>228</v>
      </c>
      <c r="P11" s="7">
        <f t="shared" si="3"/>
        <v>0.84736842105263155</v>
      </c>
      <c r="Q11" s="3">
        <f t="shared" si="4"/>
        <v>199</v>
      </c>
      <c r="R11" s="3">
        <f t="shared" si="5"/>
        <v>29</v>
      </c>
    </row>
    <row r="12" spans="1:18" ht="13.2" x14ac:dyDescent="0.25">
      <c r="A12" s="3" t="s">
        <v>34</v>
      </c>
      <c r="B12" s="3" t="s">
        <v>25</v>
      </c>
      <c r="C12" s="4">
        <v>45144</v>
      </c>
      <c r="D12" s="5" t="s">
        <v>3</v>
      </c>
      <c r="E12" s="6">
        <v>8</v>
      </c>
      <c r="F12" s="3">
        <v>18</v>
      </c>
      <c r="G12" s="7">
        <f t="shared" si="0"/>
        <v>2.25</v>
      </c>
      <c r="H12" s="8">
        <v>150000</v>
      </c>
      <c r="I12" s="8">
        <f t="shared" si="1"/>
        <v>18750</v>
      </c>
      <c r="J12" s="9">
        <v>366</v>
      </c>
      <c r="K12" s="3">
        <v>88</v>
      </c>
      <c r="L12" s="3">
        <v>90</v>
      </c>
      <c r="M12" s="3">
        <v>12</v>
      </c>
      <c r="N12" s="3">
        <v>17</v>
      </c>
      <c r="O12" s="9">
        <f t="shared" si="2"/>
        <v>207</v>
      </c>
      <c r="P12" s="7">
        <f t="shared" si="3"/>
        <v>0.84057971014492749</v>
      </c>
      <c r="Q12" s="3">
        <f t="shared" si="4"/>
        <v>178</v>
      </c>
      <c r="R12" s="3">
        <f t="shared" si="5"/>
        <v>29</v>
      </c>
    </row>
    <row r="13" spans="1:18" ht="13.2" x14ac:dyDescent="0.25">
      <c r="A13" s="3" t="s">
        <v>35</v>
      </c>
      <c r="B13" s="3" t="s">
        <v>26</v>
      </c>
      <c r="C13" s="4">
        <v>45145</v>
      </c>
      <c r="D13" s="5" t="s">
        <v>0</v>
      </c>
      <c r="E13" s="6">
        <v>8</v>
      </c>
      <c r="F13" s="3">
        <v>70</v>
      </c>
      <c r="G13" s="7">
        <f t="shared" si="0"/>
        <v>8.75</v>
      </c>
      <c r="H13" s="8">
        <v>80000</v>
      </c>
      <c r="I13" s="8">
        <f t="shared" si="1"/>
        <v>10000</v>
      </c>
      <c r="J13" s="9">
        <v>250</v>
      </c>
      <c r="K13" s="3">
        <v>72</v>
      </c>
      <c r="L13" s="3">
        <v>30</v>
      </c>
      <c r="M13" s="3">
        <v>20</v>
      </c>
      <c r="N13" s="3">
        <v>10</v>
      </c>
      <c r="O13" s="9">
        <f t="shared" si="2"/>
        <v>132</v>
      </c>
      <c r="P13" s="7">
        <f t="shared" si="3"/>
        <v>0.84848484848484851</v>
      </c>
      <c r="Q13" s="3">
        <f t="shared" si="4"/>
        <v>102</v>
      </c>
      <c r="R13" s="3">
        <f t="shared" si="5"/>
        <v>30</v>
      </c>
    </row>
    <row r="14" spans="1:18" ht="13.2" x14ac:dyDescent="0.25">
      <c r="A14" s="3" t="s">
        <v>24</v>
      </c>
      <c r="B14" s="3" t="s">
        <v>26</v>
      </c>
      <c r="C14" s="4">
        <v>45145</v>
      </c>
      <c r="D14" s="5" t="s">
        <v>0</v>
      </c>
      <c r="E14" s="6">
        <v>8</v>
      </c>
      <c r="F14" s="3">
        <v>80</v>
      </c>
      <c r="G14" s="7">
        <f t="shared" si="0"/>
        <v>10</v>
      </c>
      <c r="H14" s="8">
        <v>140000</v>
      </c>
      <c r="I14" s="8">
        <f t="shared" si="1"/>
        <v>17500</v>
      </c>
      <c r="J14" s="9">
        <v>400</v>
      </c>
      <c r="K14" s="3">
        <v>64</v>
      </c>
      <c r="L14" s="3">
        <v>30</v>
      </c>
      <c r="M14" s="3">
        <v>11</v>
      </c>
      <c r="N14" s="3">
        <v>55</v>
      </c>
      <c r="O14" s="9">
        <f t="shared" si="2"/>
        <v>160</v>
      </c>
      <c r="P14" s="7">
        <f t="shared" si="3"/>
        <v>0.72875000000000001</v>
      </c>
      <c r="Q14" s="3">
        <f t="shared" si="4"/>
        <v>94</v>
      </c>
      <c r="R14" s="3">
        <f t="shared" si="5"/>
        <v>66</v>
      </c>
    </row>
    <row r="15" spans="1:18" ht="13.2" x14ac:dyDescent="0.25">
      <c r="A15" s="3" t="s">
        <v>27</v>
      </c>
      <c r="B15" s="3" t="s">
        <v>26</v>
      </c>
      <c r="C15" s="4">
        <v>45145</v>
      </c>
      <c r="D15" s="5" t="s">
        <v>0</v>
      </c>
      <c r="E15" s="6">
        <v>7</v>
      </c>
      <c r="F15" s="3">
        <v>80</v>
      </c>
      <c r="G15" s="7">
        <f t="shared" si="0"/>
        <v>11.428571428571429</v>
      </c>
      <c r="H15" s="8">
        <v>100000</v>
      </c>
      <c r="I15" s="8">
        <f t="shared" si="1"/>
        <v>14285.714285714286</v>
      </c>
      <c r="J15" s="9">
        <v>400</v>
      </c>
      <c r="K15" s="3">
        <v>55</v>
      </c>
      <c r="L15" s="3">
        <v>44</v>
      </c>
      <c r="M15" s="3">
        <v>18</v>
      </c>
      <c r="N15" s="3">
        <v>9</v>
      </c>
      <c r="O15" s="9">
        <f t="shared" si="2"/>
        <v>126</v>
      </c>
      <c r="P15" s="7">
        <f t="shared" si="3"/>
        <v>0.83015873015873021</v>
      </c>
      <c r="Q15" s="3">
        <f t="shared" si="4"/>
        <v>99</v>
      </c>
      <c r="R15" s="3">
        <f t="shared" si="5"/>
        <v>27</v>
      </c>
    </row>
    <row r="16" spans="1:18" ht="13.2" x14ac:dyDescent="0.25">
      <c r="A16" s="3" t="s">
        <v>28</v>
      </c>
      <c r="B16" s="3" t="s">
        <v>25</v>
      </c>
      <c r="C16" s="4">
        <v>45145</v>
      </c>
      <c r="D16" s="5" t="s">
        <v>1</v>
      </c>
      <c r="E16" s="6">
        <v>7</v>
      </c>
      <c r="F16" s="3">
        <v>24</v>
      </c>
      <c r="G16" s="7">
        <f t="shared" si="0"/>
        <v>3.4285714285714284</v>
      </c>
      <c r="H16" s="8">
        <v>120000</v>
      </c>
      <c r="I16" s="8">
        <f t="shared" si="1"/>
        <v>17142.857142857141</v>
      </c>
      <c r="J16" s="9">
        <v>500</v>
      </c>
      <c r="K16" s="3">
        <v>66</v>
      </c>
      <c r="L16" s="3">
        <v>62</v>
      </c>
      <c r="M16" s="3">
        <v>17</v>
      </c>
      <c r="N16" s="3">
        <v>16</v>
      </c>
      <c r="O16" s="9">
        <f t="shared" si="2"/>
        <v>161</v>
      </c>
      <c r="P16" s="7">
        <f t="shared" si="3"/>
        <v>0.82111801242236027</v>
      </c>
      <c r="Q16" s="3">
        <f t="shared" si="4"/>
        <v>128</v>
      </c>
      <c r="R16" s="3">
        <f t="shared" si="5"/>
        <v>33</v>
      </c>
    </row>
    <row r="17" spans="1:18" ht="13.2" x14ac:dyDescent="0.25">
      <c r="A17" s="3" t="s">
        <v>29</v>
      </c>
      <c r="B17" s="3" t="s">
        <v>25</v>
      </c>
      <c r="C17" s="4">
        <v>45145</v>
      </c>
      <c r="D17" s="5" t="s">
        <v>1</v>
      </c>
      <c r="E17" s="6">
        <v>9</v>
      </c>
      <c r="F17" s="3">
        <v>29</v>
      </c>
      <c r="G17" s="7">
        <f t="shared" si="0"/>
        <v>3.2222222222222223</v>
      </c>
      <c r="H17" s="8">
        <v>120000</v>
      </c>
      <c r="I17" s="8">
        <f t="shared" si="1"/>
        <v>13333.333333333334</v>
      </c>
      <c r="J17" s="9">
        <v>480</v>
      </c>
      <c r="K17" s="3">
        <v>77</v>
      </c>
      <c r="L17" s="3">
        <v>49</v>
      </c>
      <c r="M17" s="3">
        <v>12</v>
      </c>
      <c r="N17" s="3">
        <v>19</v>
      </c>
      <c r="O17" s="9">
        <f t="shared" si="2"/>
        <v>157</v>
      </c>
      <c r="P17" s="7">
        <f t="shared" si="3"/>
        <v>0.83439490445859876</v>
      </c>
      <c r="Q17" s="3">
        <f t="shared" si="4"/>
        <v>126</v>
      </c>
      <c r="R17" s="3">
        <f t="shared" si="5"/>
        <v>31</v>
      </c>
    </row>
    <row r="18" spans="1:18" ht="13.2" x14ac:dyDescent="0.25">
      <c r="A18" s="3" t="s">
        <v>30</v>
      </c>
      <c r="B18" s="3" t="s">
        <v>26</v>
      </c>
      <c r="C18" s="4">
        <v>45146</v>
      </c>
      <c r="D18" s="5" t="s">
        <v>4</v>
      </c>
      <c r="E18" s="6">
        <v>6</v>
      </c>
      <c r="F18" s="3">
        <v>45</v>
      </c>
      <c r="G18" s="7">
        <f t="shared" si="0"/>
        <v>7.5</v>
      </c>
      <c r="H18" s="8">
        <v>90000</v>
      </c>
      <c r="I18" s="8">
        <f t="shared" si="1"/>
        <v>15000</v>
      </c>
      <c r="J18" s="9">
        <v>400</v>
      </c>
      <c r="K18" s="3">
        <v>40</v>
      </c>
      <c r="L18" s="3">
        <v>30</v>
      </c>
      <c r="M18" s="3">
        <v>20</v>
      </c>
      <c r="N18" s="3">
        <v>45</v>
      </c>
      <c r="O18" s="9">
        <f t="shared" si="2"/>
        <v>135</v>
      </c>
      <c r="P18" s="7">
        <f t="shared" si="3"/>
        <v>0.6962962962962963</v>
      </c>
      <c r="Q18" s="3">
        <f t="shared" si="4"/>
        <v>70</v>
      </c>
      <c r="R18" s="3">
        <f t="shared" si="5"/>
        <v>65</v>
      </c>
    </row>
    <row r="19" spans="1:18" ht="13.2" x14ac:dyDescent="0.25">
      <c r="A19" s="3" t="s">
        <v>31</v>
      </c>
      <c r="B19" s="3" t="s">
        <v>26</v>
      </c>
      <c r="C19" s="4">
        <v>45146</v>
      </c>
      <c r="D19" s="5" t="s">
        <v>4</v>
      </c>
      <c r="E19" s="6">
        <v>8</v>
      </c>
      <c r="F19" s="3">
        <v>45</v>
      </c>
      <c r="G19" s="7">
        <f t="shared" si="0"/>
        <v>5.625</v>
      </c>
      <c r="H19" s="8">
        <v>120000</v>
      </c>
      <c r="I19" s="8">
        <f t="shared" si="1"/>
        <v>15000</v>
      </c>
      <c r="J19" s="9">
        <v>500</v>
      </c>
      <c r="K19" s="3">
        <v>70</v>
      </c>
      <c r="L19" s="3">
        <v>40</v>
      </c>
      <c r="M19" s="3">
        <v>11</v>
      </c>
      <c r="N19" s="3">
        <v>19</v>
      </c>
      <c r="O19" s="9">
        <f t="shared" si="2"/>
        <v>140</v>
      </c>
      <c r="P19" s="7">
        <f t="shared" si="3"/>
        <v>0.83</v>
      </c>
      <c r="Q19" s="3">
        <f t="shared" si="4"/>
        <v>110</v>
      </c>
      <c r="R19" s="3">
        <f t="shared" si="5"/>
        <v>30</v>
      </c>
    </row>
    <row r="20" spans="1:18" ht="13.2" x14ac:dyDescent="0.25">
      <c r="A20" s="3" t="s">
        <v>32</v>
      </c>
      <c r="B20" s="3" t="s">
        <v>25</v>
      </c>
      <c r="C20" s="4">
        <v>45146</v>
      </c>
      <c r="D20" s="5" t="s">
        <v>2</v>
      </c>
      <c r="E20" s="6">
        <v>8</v>
      </c>
      <c r="F20" s="3">
        <v>25</v>
      </c>
      <c r="G20" s="7">
        <f t="shared" si="0"/>
        <v>3.125</v>
      </c>
      <c r="H20" s="8">
        <v>117700</v>
      </c>
      <c r="I20" s="8">
        <f t="shared" si="1"/>
        <v>14712.5</v>
      </c>
      <c r="J20" s="9">
        <v>380</v>
      </c>
      <c r="K20" s="3">
        <v>28</v>
      </c>
      <c r="L20" s="3">
        <v>77</v>
      </c>
      <c r="M20" s="3">
        <v>15</v>
      </c>
      <c r="N20" s="3">
        <v>9</v>
      </c>
      <c r="O20" s="9">
        <f t="shared" si="2"/>
        <v>129</v>
      </c>
      <c r="P20" s="7">
        <f t="shared" si="3"/>
        <v>0.79224806201550391</v>
      </c>
      <c r="Q20" s="3">
        <f t="shared" si="4"/>
        <v>105</v>
      </c>
      <c r="R20" s="3">
        <f t="shared" si="5"/>
        <v>24</v>
      </c>
    </row>
    <row r="21" spans="1:18" ht="13.2" x14ac:dyDescent="0.25">
      <c r="A21" s="3" t="s">
        <v>33</v>
      </c>
      <c r="B21" s="3" t="s">
        <v>25</v>
      </c>
      <c r="C21" s="4">
        <v>45147</v>
      </c>
      <c r="D21" s="5" t="s">
        <v>2</v>
      </c>
      <c r="E21" s="6">
        <v>6</v>
      </c>
      <c r="F21" s="3">
        <v>26</v>
      </c>
      <c r="G21" s="7">
        <f t="shared" si="0"/>
        <v>4.333333333333333</v>
      </c>
      <c r="H21" s="8">
        <v>125000</v>
      </c>
      <c r="I21" s="8">
        <f t="shared" si="1"/>
        <v>20833.333333333332</v>
      </c>
      <c r="J21" s="9">
        <v>377</v>
      </c>
      <c r="K21" s="3">
        <v>66</v>
      </c>
      <c r="L21" s="3">
        <v>77</v>
      </c>
      <c r="M21" s="3">
        <v>26</v>
      </c>
      <c r="N21" s="3">
        <v>7</v>
      </c>
      <c r="O21" s="9">
        <f t="shared" si="2"/>
        <v>176</v>
      </c>
      <c r="P21" s="7">
        <f t="shared" si="3"/>
        <v>0.82954545454545459</v>
      </c>
      <c r="Q21" s="3">
        <f t="shared" si="4"/>
        <v>143</v>
      </c>
      <c r="R21" s="3">
        <f t="shared" si="5"/>
        <v>33</v>
      </c>
    </row>
    <row r="22" spans="1:18" ht="13.2" x14ac:dyDescent="0.25">
      <c r="A22" s="3" t="s">
        <v>24</v>
      </c>
      <c r="B22" s="3" t="s">
        <v>25</v>
      </c>
      <c r="C22" s="4">
        <v>45147</v>
      </c>
      <c r="D22" s="5" t="s">
        <v>4</v>
      </c>
      <c r="E22" s="6">
        <v>9</v>
      </c>
      <c r="F22" s="3">
        <v>16</v>
      </c>
      <c r="G22" s="7">
        <f t="shared" si="0"/>
        <v>1.7777777777777777</v>
      </c>
      <c r="H22" s="8">
        <v>54400</v>
      </c>
      <c r="I22" s="8">
        <f t="shared" si="1"/>
        <v>6044.4444444444443</v>
      </c>
      <c r="J22" s="9">
        <v>310</v>
      </c>
      <c r="K22" s="3">
        <v>29</v>
      </c>
      <c r="L22" s="3">
        <v>32</v>
      </c>
      <c r="M22" s="3">
        <v>30</v>
      </c>
      <c r="N22" s="3">
        <v>11</v>
      </c>
      <c r="O22" s="9">
        <f t="shared" si="2"/>
        <v>102</v>
      </c>
      <c r="P22" s="7">
        <f t="shared" si="3"/>
        <v>0.75490196078431371</v>
      </c>
      <c r="Q22" s="3">
        <f t="shared" si="4"/>
        <v>61</v>
      </c>
      <c r="R22" s="3">
        <f t="shared" si="5"/>
        <v>41</v>
      </c>
    </row>
    <row r="23" spans="1:18" ht="13.2" x14ac:dyDescent="0.25">
      <c r="A23" s="3" t="s">
        <v>24</v>
      </c>
      <c r="B23" s="3" t="s">
        <v>26</v>
      </c>
      <c r="C23" s="4">
        <v>45148</v>
      </c>
      <c r="D23" s="5" t="s">
        <v>1</v>
      </c>
      <c r="E23" s="6">
        <v>9</v>
      </c>
      <c r="F23" s="3">
        <v>21</v>
      </c>
      <c r="G23" s="7">
        <f t="shared" si="0"/>
        <v>2.3333333333333335</v>
      </c>
      <c r="H23" s="8">
        <v>71400</v>
      </c>
      <c r="I23" s="8">
        <f t="shared" si="1"/>
        <v>7933.333333333333</v>
      </c>
      <c r="J23" s="9">
        <v>327</v>
      </c>
      <c r="K23" s="3">
        <v>25</v>
      </c>
      <c r="L23" s="3">
        <v>36</v>
      </c>
      <c r="M23" s="3">
        <v>33</v>
      </c>
      <c r="N23" s="3">
        <v>12</v>
      </c>
      <c r="O23" s="9">
        <f t="shared" si="2"/>
        <v>106</v>
      </c>
      <c r="P23" s="7">
        <f t="shared" si="3"/>
        <v>0.73962264150943391</v>
      </c>
      <c r="Q23" s="3">
        <f t="shared" si="4"/>
        <v>61</v>
      </c>
      <c r="R23" s="3">
        <f t="shared" si="5"/>
        <v>45</v>
      </c>
    </row>
    <row r="24" spans="1:18" ht="13.2" x14ac:dyDescent="0.25">
      <c r="A24" s="3" t="s">
        <v>24</v>
      </c>
      <c r="B24" s="3" t="s">
        <v>25</v>
      </c>
      <c r="C24" s="4">
        <v>45148</v>
      </c>
      <c r="D24" s="5" t="s">
        <v>5</v>
      </c>
      <c r="E24" s="6">
        <v>7</v>
      </c>
      <c r="F24" s="3">
        <v>23</v>
      </c>
      <c r="G24" s="7">
        <f t="shared" si="0"/>
        <v>3.2857142857142856</v>
      </c>
      <c r="H24" s="8">
        <v>78200</v>
      </c>
      <c r="I24" s="8">
        <f t="shared" si="1"/>
        <v>11171.428571428571</v>
      </c>
      <c r="J24" s="9">
        <v>367</v>
      </c>
      <c r="K24" s="3">
        <v>27</v>
      </c>
      <c r="L24" s="3">
        <v>37</v>
      </c>
      <c r="M24" s="3">
        <v>36</v>
      </c>
      <c r="N24" s="3">
        <v>12</v>
      </c>
      <c r="O24" s="9">
        <f t="shared" si="2"/>
        <v>112</v>
      </c>
      <c r="P24" s="7">
        <f t="shared" si="3"/>
        <v>0.7410714285714286</v>
      </c>
      <c r="Q24" s="3">
        <f t="shared" si="4"/>
        <v>64</v>
      </c>
      <c r="R24" s="3">
        <f t="shared" si="5"/>
        <v>48</v>
      </c>
    </row>
    <row r="25" spans="1:18" ht="13.2" x14ac:dyDescent="0.25">
      <c r="A25" s="3" t="s">
        <v>24</v>
      </c>
      <c r="B25" s="3" t="s">
        <v>26</v>
      </c>
      <c r="C25" s="4">
        <v>45149</v>
      </c>
      <c r="D25" s="5" t="s">
        <v>2</v>
      </c>
      <c r="E25" s="6">
        <v>8</v>
      </c>
      <c r="F25" s="3">
        <v>24</v>
      </c>
      <c r="G25" s="7">
        <f t="shared" si="0"/>
        <v>3</v>
      </c>
      <c r="H25" s="8">
        <v>81600</v>
      </c>
      <c r="I25" s="8">
        <f t="shared" si="1"/>
        <v>10200</v>
      </c>
      <c r="J25" s="9">
        <v>379</v>
      </c>
      <c r="K25" s="3">
        <v>23</v>
      </c>
      <c r="L25" s="3">
        <v>37</v>
      </c>
      <c r="M25" s="3">
        <v>33</v>
      </c>
      <c r="N25" s="3">
        <v>11</v>
      </c>
      <c r="O25" s="9">
        <f t="shared" si="2"/>
        <v>104</v>
      </c>
      <c r="P25" s="7">
        <f t="shared" si="3"/>
        <v>0.7384615384615385</v>
      </c>
      <c r="Q25" s="3">
        <f t="shared" si="4"/>
        <v>60</v>
      </c>
      <c r="R25" s="3">
        <f t="shared" si="5"/>
        <v>44</v>
      </c>
    </row>
    <row r="26" spans="1:18" ht="13.2" x14ac:dyDescent="0.25">
      <c r="A26" s="3" t="s">
        <v>24</v>
      </c>
      <c r="B26" s="3" t="s">
        <v>25</v>
      </c>
      <c r="C26" s="4">
        <v>45149</v>
      </c>
      <c r="D26" s="5" t="s">
        <v>0</v>
      </c>
      <c r="E26" s="6">
        <v>8</v>
      </c>
      <c r="F26" s="3">
        <v>15</v>
      </c>
      <c r="G26" s="7">
        <f t="shared" si="0"/>
        <v>1.875</v>
      </c>
      <c r="H26" s="8">
        <v>51000</v>
      </c>
      <c r="I26" s="8">
        <f t="shared" si="1"/>
        <v>6375</v>
      </c>
      <c r="J26" s="9">
        <v>302</v>
      </c>
      <c r="K26" s="3">
        <v>24</v>
      </c>
      <c r="L26" s="3">
        <v>37</v>
      </c>
      <c r="M26" s="3">
        <v>33</v>
      </c>
      <c r="N26" s="3">
        <v>12</v>
      </c>
      <c r="O26" s="9">
        <f t="shared" si="2"/>
        <v>106</v>
      </c>
      <c r="P26" s="7">
        <f t="shared" si="3"/>
        <v>0.73773584905660372</v>
      </c>
      <c r="Q26" s="3">
        <f t="shared" si="4"/>
        <v>61</v>
      </c>
      <c r="R26" s="3">
        <f t="shared" si="5"/>
        <v>45</v>
      </c>
    </row>
    <row r="27" spans="1:18" ht="13.2" x14ac:dyDescent="0.25">
      <c r="A27" s="3" t="s">
        <v>24</v>
      </c>
      <c r="B27" s="3" t="s">
        <v>26</v>
      </c>
      <c r="C27" s="4">
        <v>45150</v>
      </c>
      <c r="D27" s="5" t="s">
        <v>3</v>
      </c>
      <c r="E27" s="6">
        <v>6</v>
      </c>
      <c r="F27" s="3">
        <v>19</v>
      </c>
      <c r="G27" s="7">
        <f t="shared" si="0"/>
        <v>3.1666666666666665</v>
      </c>
      <c r="H27" s="8">
        <v>64600</v>
      </c>
      <c r="I27" s="8">
        <f t="shared" si="1"/>
        <v>10766.666666666666</v>
      </c>
      <c r="J27" s="9">
        <v>380</v>
      </c>
      <c r="K27" s="3">
        <v>21</v>
      </c>
      <c r="L27" s="3">
        <v>32</v>
      </c>
      <c r="M27" s="3">
        <v>33</v>
      </c>
      <c r="N27" s="3">
        <v>11</v>
      </c>
      <c r="O27" s="9">
        <f t="shared" si="2"/>
        <v>97</v>
      </c>
      <c r="P27" s="7">
        <f t="shared" si="3"/>
        <v>0.72989690721649481</v>
      </c>
      <c r="Q27" s="3">
        <f t="shared" si="4"/>
        <v>53</v>
      </c>
      <c r="R27" s="3">
        <f t="shared" si="5"/>
        <v>44</v>
      </c>
    </row>
    <row r="28" spans="1:18" ht="13.2" x14ac:dyDescent="0.25">
      <c r="A28" s="3" t="s">
        <v>24</v>
      </c>
      <c r="B28" s="3" t="s">
        <v>25</v>
      </c>
      <c r="C28" s="4">
        <v>45151</v>
      </c>
      <c r="D28" s="5" t="s">
        <v>4</v>
      </c>
      <c r="E28" s="6">
        <v>7</v>
      </c>
      <c r="F28" s="3">
        <v>20</v>
      </c>
      <c r="G28" s="7">
        <f t="shared" si="0"/>
        <v>2.8571428571428572</v>
      </c>
      <c r="H28" s="8">
        <v>68000</v>
      </c>
      <c r="I28" s="8">
        <f t="shared" si="1"/>
        <v>9714.2857142857138</v>
      </c>
      <c r="J28" s="9">
        <v>394</v>
      </c>
      <c r="K28" s="3">
        <v>30</v>
      </c>
      <c r="L28" s="3">
        <v>38</v>
      </c>
      <c r="M28" s="3">
        <v>35</v>
      </c>
      <c r="N28" s="3">
        <v>13</v>
      </c>
      <c r="O28" s="9">
        <f t="shared" si="2"/>
        <v>116</v>
      </c>
      <c r="P28" s="7">
        <f t="shared" si="3"/>
        <v>0.74655172413793103</v>
      </c>
      <c r="Q28" s="3">
        <f t="shared" si="4"/>
        <v>68</v>
      </c>
      <c r="R28" s="3">
        <f t="shared" si="5"/>
        <v>48</v>
      </c>
    </row>
    <row r="29" spans="1:18" ht="13.2" x14ac:dyDescent="0.25">
      <c r="A29" s="3" t="s">
        <v>24</v>
      </c>
      <c r="B29" s="3" t="s">
        <v>26</v>
      </c>
      <c r="C29" s="4">
        <v>45151</v>
      </c>
      <c r="D29" s="5" t="s">
        <v>1</v>
      </c>
      <c r="E29" s="6">
        <v>9</v>
      </c>
      <c r="F29" s="3">
        <v>24</v>
      </c>
      <c r="G29" s="7">
        <f t="shared" si="0"/>
        <v>2.6666666666666665</v>
      </c>
      <c r="H29" s="8">
        <v>81600</v>
      </c>
      <c r="I29" s="8">
        <f t="shared" si="1"/>
        <v>9066.6666666666661</v>
      </c>
      <c r="J29" s="9">
        <v>321</v>
      </c>
      <c r="K29" s="3">
        <v>27</v>
      </c>
      <c r="L29" s="3">
        <v>32</v>
      </c>
      <c r="M29" s="3">
        <v>40</v>
      </c>
      <c r="N29" s="3">
        <v>14</v>
      </c>
      <c r="O29" s="9">
        <f t="shared" si="2"/>
        <v>113</v>
      </c>
      <c r="P29" s="7">
        <f t="shared" si="3"/>
        <v>0.72743362831858405</v>
      </c>
      <c r="Q29" s="3">
        <f t="shared" si="4"/>
        <v>59</v>
      </c>
      <c r="R29" s="3">
        <f t="shared" si="5"/>
        <v>54</v>
      </c>
    </row>
    <row r="30" spans="1:18" ht="13.2" x14ac:dyDescent="0.25">
      <c r="A30" s="3" t="s">
        <v>27</v>
      </c>
      <c r="B30" s="3" t="s">
        <v>25</v>
      </c>
      <c r="C30" s="4">
        <v>45152</v>
      </c>
      <c r="D30" s="5" t="s">
        <v>5</v>
      </c>
      <c r="E30" s="6">
        <v>7</v>
      </c>
      <c r="F30" s="3">
        <v>25</v>
      </c>
      <c r="G30" s="7">
        <f t="shared" si="0"/>
        <v>3.5714285714285716</v>
      </c>
      <c r="H30" s="8">
        <v>70000</v>
      </c>
      <c r="I30" s="8">
        <f t="shared" si="1"/>
        <v>10000</v>
      </c>
      <c r="J30" s="9">
        <v>348</v>
      </c>
      <c r="K30" s="3">
        <v>20</v>
      </c>
      <c r="L30" s="3">
        <v>38</v>
      </c>
      <c r="M30" s="3">
        <v>30</v>
      </c>
      <c r="N30" s="3">
        <v>10</v>
      </c>
      <c r="O30" s="9">
        <f t="shared" si="2"/>
        <v>98</v>
      </c>
      <c r="P30" s="7">
        <f t="shared" si="3"/>
        <v>0.73877551020408161</v>
      </c>
      <c r="Q30" s="3">
        <f t="shared" si="4"/>
        <v>58</v>
      </c>
      <c r="R30" s="3">
        <f t="shared" si="5"/>
        <v>40</v>
      </c>
    </row>
    <row r="31" spans="1:18" ht="13.2" x14ac:dyDescent="0.25">
      <c r="A31" s="3" t="s">
        <v>27</v>
      </c>
      <c r="B31" s="3" t="s">
        <v>26</v>
      </c>
      <c r="C31" s="4">
        <v>45153</v>
      </c>
      <c r="D31" s="5" t="s">
        <v>2</v>
      </c>
      <c r="E31" s="6">
        <v>7</v>
      </c>
      <c r="F31" s="3">
        <v>21</v>
      </c>
      <c r="G31" s="7">
        <f t="shared" si="0"/>
        <v>3</v>
      </c>
      <c r="H31" s="8">
        <v>71400</v>
      </c>
      <c r="I31" s="8">
        <f t="shared" si="1"/>
        <v>10200</v>
      </c>
      <c r="J31" s="9">
        <v>381</v>
      </c>
      <c r="K31" s="3">
        <v>23</v>
      </c>
      <c r="L31" s="3">
        <v>45</v>
      </c>
      <c r="M31" s="3">
        <v>36</v>
      </c>
      <c r="N31" s="3">
        <v>11</v>
      </c>
      <c r="O31" s="9">
        <f t="shared" si="2"/>
        <v>115</v>
      </c>
      <c r="P31" s="7">
        <f t="shared" si="3"/>
        <v>0.73913043478260865</v>
      </c>
      <c r="Q31" s="3">
        <f t="shared" si="4"/>
        <v>68</v>
      </c>
      <c r="R31" s="3">
        <f t="shared" si="5"/>
        <v>47</v>
      </c>
    </row>
    <row r="32" spans="1:18" ht="13.2" x14ac:dyDescent="0.25">
      <c r="A32" s="3" t="s">
        <v>27</v>
      </c>
      <c r="B32" s="3" t="s">
        <v>25</v>
      </c>
      <c r="C32" s="4">
        <v>45154</v>
      </c>
      <c r="D32" s="5" t="s">
        <v>0</v>
      </c>
      <c r="E32" s="6">
        <v>7</v>
      </c>
      <c r="F32" s="3">
        <v>24</v>
      </c>
      <c r="G32" s="7">
        <f t="shared" si="0"/>
        <v>3.4285714285714284</v>
      </c>
      <c r="H32" s="8">
        <v>81600</v>
      </c>
      <c r="I32" s="8">
        <f t="shared" si="1"/>
        <v>11657.142857142857</v>
      </c>
      <c r="J32" s="9">
        <v>335</v>
      </c>
      <c r="K32" s="3">
        <v>28</v>
      </c>
      <c r="L32" s="3">
        <v>31</v>
      </c>
      <c r="M32" s="3">
        <v>33</v>
      </c>
      <c r="N32" s="3">
        <v>15</v>
      </c>
      <c r="O32" s="9">
        <f t="shared" si="2"/>
        <v>107</v>
      </c>
      <c r="P32" s="7">
        <f t="shared" si="3"/>
        <v>0.73457943925233649</v>
      </c>
      <c r="Q32" s="3">
        <f t="shared" si="4"/>
        <v>59</v>
      </c>
      <c r="R32" s="3">
        <f t="shared" si="5"/>
        <v>48</v>
      </c>
    </row>
    <row r="33" spans="1:18" ht="13.2" x14ac:dyDescent="0.25">
      <c r="A33" s="3" t="s">
        <v>27</v>
      </c>
      <c r="B33" s="3" t="s">
        <v>26</v>
      </c>
      <c r="C33" s="4">
        <v>45155</v>
      </c>
      <c r="D33" s="5" t="s">
        <v>3</v>
      </c>
      <c r="E33" s="6">
        <v>6</v>
      </c>
      <c r="F33" s="3">
        <v>18</v>
      </c>
      <c r="G33" s="7">
        <f t="shared" si="0"/>
        <v>3</v>
      </c>
      <c r="H33" s="8">
        <v>61200</v>
      </c>
      <c r="I33" s="8">
        <f t="shared" si="1"/>
        <v>10200</v>
      </c>
      <c r="J33" s="9">
        <v>327</v>
      </c>
      <c r="K33" s="3">
        <v>23</v>
      </c>
      <c r="L33" s="3">
        <v>30</v>
      </c>
      <c r="M33" s="3">
        <v>33</v>
      </c>
      <c r="N33" s="3">
        <v>11</v>
      </c>
      <c r="O33" s="9">
        <f t="shared" si="2"/>
        <v>97</v>
      </c>
      <c r="P33" s="7">
        <f t="shared" si="3"/>
        <v>0.73402061855670098</v>
      </c>
      <c r="Q33" s="3">
        <f t="shared" si="4"/>
        <v>53</v>
      </c>
      <c r="R33" s="3">
        <f t="shared" si="5"/>
        <v>44</v>
      </c>
    </row>
    <row r="34" spans="1:18" ht="13.2" x14ac:dyDescent="0.25">
      <c r="A34" s="3" t="s">
        <v>27</v>
      </c>
      <c r="B34" s="3" t="s">
        <v>25</v>
      </c>
      <c r="C34" s="4">
        <v>45159</v>
      </c>
      <c r="D34" s="5" t="s">
        <v>4</v>
      </c>
      <c r="E34" s="6">
        <v>7</v>
      </c>
      <c r="F34" s="3">
        <v>23</v>
      </c>
      <c r="G34" s="7">
        <f t="shared" si="0"/>
        <v>3.2857142857142856</v>
      </c>
      <c r="H34" s="8">
        <v>78200</v>
      </c>
      <c r="I34" s="8">
        <f t="shared" si="1"/>
        <v>11171.428571428571</v>
      </c>
      <c r="J34" s="9">
        <v>369</v>
      </c>
      <c r="K34" s="3">
        <v>21</v>
      </c>
      <c r="L34" s="3">
        <v>20</v>
      </c>
      <c r="M34" s="3">
        <v>34</v>
      </c>
      <c r="N34" s="3">
        <v>10</v>
      </c>
      <c r="O34" s="9">
        <f t="shared" si="2"/>
        <v>85</v>
      </c>
      <c r="P34" s="7">
        <f t="shared" si="3"/>
        <v>0.72235294117647064</v>
      </c>
      <c r="Q34" s="3">
        <f t="shared" si="4"/>
        <v>41</v>
      </c>
      <c r="R34" s="3">
        <f t="shared" si="5"/>
        <v>44</v>
      </c>
    </row>
    <row r="35" spans="1:18" ht="13.2" x14ac:dyDescent="0.25">
      <c r="A35" s="3" t="s">
        <v>27</v>
      </c>
      <c r="B35" s="3" t="s">
        <v>26</v>
      </c>
      <c r="C35" s="4">
        <v>45159</v>
      </c>
      <c r="D35" s="5" t="s">
        <v>1</v>
      </c>
      <c r="E35" s="6">
        <v>6</v>
      </c>
      <c r="F35" s="3">
        <v>24</v>
      </c>
      <c r="G35" s="7">
        <f t="shared" si="0"/>
        <v>4</v>
      </c>
      <c r="H35" s="8">
        <v>81600</v>
      </c>
      <c r="I35" s="8">
        <f t="shared" si="1"/>
        <v>13600</v>
      </c>
      <c r="J35" s="9">
        <v>365</v>
      </c>
      <c r="K35" s="3">
        <v>29</v>
      </c>
      <c r="L35" s="3">
        <v>34</v>
      </c>
      <c r="M35" s="3">
        <v>36</v>
      </c>
      <c r="N35" s="3">
        <v>14</v>
      </c>
      <c r="O35" s="9">
        <f t="shared" si="2"/>
        <v>113</v>
      </c>
      <c r="P35" s="7">
        <f t="shared" si="3"/>
        <v>0.73805309734513269</v>
      </c>
      <c r="Q35" s="3">
        <f t="shared" si="4"/>
        <v>63</v>
      </c>
      <c r="R35" s="3">
        <f t="shared" si="5"/>
        <v>50</v>
      </c>
    </row>
    <row r="36" spans="1:18" ht="13.2" x14ac:dyDescent="0.25">
      <c r="A36" s="3" t="s">
        <v>27</v>
      </c>
      <c r="B36" s="3" t="s">
        <v>25</v>
      </c>
      <c r="C36" s="4">
        <v>45160</v>
      </c>
      <c r="D36" s="5" t="s">
        <v>5</v>
      </c>
      <c r="E36" s="6">
        <v>7</v>
      </c>
      <c r="F36" s="3">
        <v>19</v>
      </c>
      <c r="G36" s="7">
        <f t="shared" si="0"/>
        <v>2.7142857142857144</v>
      </c>
      <c r="H36" s="8">
        <v>64600</v>
      </c>
      <c r="I36" s="8">
        <f t="shared" si="1"/>
        <v>9228.5714285714294</v>
      </c>
      <c r="J36" s="9">
        <v>370</v>
      </c>
      <c r="K36" s="3">
        <v>27</v>
      </c>
      <c r="L36" s="3">
        <v>38</v>
      </c>
      <c r="M36" s="3">
        <v>33</v>
      </c>
      <c r="N36" s="3">
        <v>14</v>
      </c>
      <c r="O36" s="9">
        <f t="shared" si="2"/>
        <v>112</v>
      </c>
      <c r="P36" s="7">
        <f t="shared" si="3"/>
        <v>0.73928571428571432</v>
      </c>
      <c r="Q36" s="3">
        <f t="shared" si="4"/>
        <v>65</v>
      </c>
      <c r="R36" s="3">
        <f t="shared" si="5"/>
        <v>47</v>
      </c>
    </row>
    <row r="37" spans="1:18" ht="13.2" x14ac:dyDescent="0.25">
      <c r="A37" s="3" t="s">
        <v>27</v>
      </c>
      <c r="B37" s="3" t="s">
        <v>26</v>
      </c>
      <c r="C37" s="4">
        <v>45161</v>
      </c>
      <c r="D37" s="5" t="s">
        <v>2</v>
      </c>
      <c r="E37" s="6">
        <v>9</v>
      </c>
      <c r="F37" s="3">
        <v>15</v>
      </c>
      <c r="G37" s="7">
        <f t="shared" si="0"/>
        <v>1.6666666666666667</v>
      </c>
      <c r="H37" s="8">
        <v>51000</v>
      </c>
      <c r="I37" s="8">
        <f t="shared" si="1"/>
        <v>5666.666666666667</v>
      </c>
      <c r="J37" s="9">
        <v>302</v>
      </c>
      <c r="K37" s="3">
        <v>38</v>
      </c>
      <c r="L37" s="3">
        <v>34</v>
      </c>
      <c r="M37" s="3">
        <v>36</v>
      </c>
      <c r="N37" s="3">
        <v>13</v>
      </c>
      <c r="O37" s="9">
        <f t="shared" si="2"/>
        <v>121</v>
      </c>
      <c r="P37" s="7">
        <f t="shared" si="3"/>
        <v>0.76033057851239672</v>
      </c>
      <c r="Q37" s="3">
        <f t="shared" si="4"/>
        <v>72</v>
      </c>
      <c r="R37" s="3">
        <f t="shared" si="5"/>
        <v>49</v>
      </c>
    </row>
    <row r="38" spans="1:18" ht="13.2" x14ac:dyDescent="0.25">
      <c r="A38" s="3" t="s">
        <v>27</v>
      </c>
      <c r="B38" s="3" t="s">
        <v>25</v>
      </c>
      <c r="C38" s="4">
        <v>45162</v>
      </c>
      <c r="D38" s="5" t="s">
        <v>0</v>
      </c>
      <c r="E38" s="6">
        <v>6</v>
      </c>
      <c r="F38" s="3">
        <v>18</v>
      </c>
      <c r="G38" s="7">
        <f t="shared" si="0"/>
        <v>3</v>
      </c>
      <c r="H38" s="8">
        <v>61200</v>
      </c>
      <c r="I38" s="8">
        <f t="shared" si="1"/>
        <v>10200</v>
      </c>
      <c r="J38" s="9">
        <v>316</v>
      </c>
      <c r="K38" s="3">
        <v>28</v>
      </c>
      <c r="L38" s="3">
        <v>33</v>
      </c>
      <c r="M38" s="3">
        <v>34</v>
      </c>
      <c r="N38" s="3">
        <v>11</v>
      </c>
      <c r="O38" s="9">
        <f t="shared" si="2"/>
        <v>106</v>
      </c>
      <c r="P38" s="7">
        <f t="shared" si="3"/>
        <v>0.74716981132075466</v>
      </c>
      <c r="Q38" s="3">
        <f t="shared" si="4"/>
        <v>61</v>
      </c>
      <c r="R38" s="3">
        <f t="shared" si="5"/>
        <v>45</v>
      </c>
    </row>
    <row r="39" spans="1:18" ht="13.2" x14ac:dyDescent="0.25">
      <c r="A39" s="3" t="s">
        <v>27</v>
      </c>
      <c r="B39" s="3" t="s">
        <v>26</v>
      </c>
      <c r="C39" s="4">
        <v>45163</v>
      </c>
      <c r="D39" s="5" t="s">
        <v>3</v>
      </c>
      <c r="E39" s="6">
        <v>7</v>
      </c>
      <c r="F39" s="3">
        <v>25</v>
      </c>
      <c r="G39" s="7">
        <f t="shared" si="0"/>
        <v>3.5714285714285716</v>
      </c>
      <c r="H39" s="8">
        <v>85000</v>
      </c>
      <c r="I39" s="8">
        <f t="shared" si="1"/>
        <v>12142.857142857143</v>
      </c>
      <c r="J39" s="9">
        <v>330</v>
      </c>
      <c r="K39" s="3">
        <v>24</v>
      </c>
      <c r="L39" s="3">
        <v>32</v>
      </c>
      <c r="M39" s="3">
        <v>30</v>
      </c>
      <c r="N39" s="3">
        <v>10</v>
      </c>
      <c r="O39" s="9">
        <f t="shared" si="2"/>
        <v>96</v>
      </c>
      <c r="P39" s="7">
        <f t="shared" si="3"/>
        <v>0.74583333333333335</v>
      </c>
      <c r="Q39" s="3">
        <f t="shared" si="4"/>
        <v>56</v>
      </c>
      <c r="R39" s="3">
        <f t="shared" si="5"/>
        <v>40</v>
      </c>
    </row>
    <row r="40" spans="1:18" ht="13.2" x14ac:dyDescent="0.25">
      <c r="A40" s="3" t="s">
        <v>28</v>
      </c>
      <c r="B40" s="3" t="s">
        <v>25</v>
      </c>
      <c r="C40" s="4">
        <v>45165</v>
      </c>
      <c r="D40" s="5" t="s">
        <v>4</v>
      </c>
      <c r="E40" s="6">
        <v>7</v>
      </c>
      <c r="F40" s="3">
        <v>15</v>
      </c>
      <c r="G40" s="7">
        <f t="shared" si="0"/>
        <v>2.1428571428571428</v>
      </c>
      <c r="H40" s="8">
        <v>51000</v>
      </c>
      <c r="I40" s="8">
        <f t="shared" si="1"/>
        <v>7285.7142857142853</v>
      </c>
      <c r="J40" s="9">
        <v>356</v>
      </c>
      <c r="K40" s="3">
        <v>21</v>
      </c>
      <c r="L40" s="3">
        <v>35</v>
      </c>
      <c r="M40" s="3">
        <v>35</v>
      </c>
      <c r="N40" s="3">
        <v>10</v>
      </c>
      <c r="O40" s="9">
        <f t="shared" si="2"/>
        <v>101</v>
      </c>
      <c r="P40" s="7">
        <f t="shared" si="3"/>
        <v>0.73267326732673266</v>
      </c>
      <c r="Q40" s="3">
        <f t="shared" si="4"/>
        <v>56</v>
      </c>
      <c r="R40" s="3">
        <f t="shared" si="5"/>
        <v>45</v>
      </c>
    </row>
    <row r="41" spans="1:18" ht="13.2" x14ac:dyDescent="0.25">
      <c r="A41" s="3" t="s">
        <v>28</v>
      </c>
      <c r="B41" s="3" t="s">
        <v>26</v>
      </c>
      <c r="C41" s="4">
        <v>45166</v>
      </c>
      <c r="D41" s="5" t="s">
        <v>1</v>
      </c>
      <c r="E41" s="6">
        <v>7</v>
      </c>
      <c r="F41" s="3">
        <v>23</v>
      </c>
      <c r="G41" s="7">
        <f t="shared" si="0"/>
        <v>3.2857142857142856</v>
      </c>
      <c r="H41" s="8">
        <v>78200</v>
      </c>
      <c r="I41" s="8">
        <f t="shared" si="1"/>
        <v>11171.428571428571</v>
      </c>
      <c r="J41" s="9">
        <v>397</v>
      </c>
      <c r="K41" s="3">
        <v>23</v>
      </c>
      <c r="L41" s="3">
        <v>32</v>
      </c>
      <c r="M41" s="3">
        <v>33</v>
      </c>
      <c r="N41" s="3">
        <v>13</v>
      </c>
      <c r="O41" s="9">
        <f t="shared" si="2"/>
        <v>101</v>
      </c>
      <c r="P41" s="7">
        <f t="shared" si="3"/>
        <v>0.72871287128712869</v>
      </c>
      <c r="Q41" s="3">
        <f t="shared" si="4"/>
        <v>55</v>
      </c>
      <c r="R41" s="3">
        <f t="shared" si="5"/>
        <v>46</v>
      </c>
    </row>
    <row r="42" spans="1:18" ht="13.2" x14ac:dyDescent="0.25">
      <c r="A42" s="3" t="s">
        <v>28</v>
      </c>
      <c r="B42" s="3" t="s">
        <v>25</v>
      </c>
      <c r="C42" s="4">
        <v>45166</v>
      </c>
      <c r="D42" s="5" t="s">
        <v>5</v>
      </c>
      <c r="E42" s="6">
        <v>8</v>
      </c>
      <c r="F42" s="3">
        <v>24</v>
      </c>
      <c r="G42" s="7">
        <f t="shared" si="0"/>
        <v>3</v>
      </c>
      <c r="H42" s="8">
        <v>81600</v>
      </c>
      <c r="I42" s="8">
        <f t="shared" si="1"/>
        <v>10200</v>
      </c>
      <c r="J42" s="9">
        <v>379</v>
      </c>
      <c r="K42" s="3">
        <v>20</v>
      </c>
      <c r="L42" s="3">
        <v>36</v>
      </c>
      <c r="M42" s="3">
        <v>31</v>
      </c>
      <c r="N42" s="3">
        <v>14</v>
      </c>
      <c r="O42" s="9">
        <f t="shared" si="2"/>
        <v>101</v>
      </c>
      <c r="P42" s="7">
        <f t="shared" si="3"/>
        <v>0.72277227722772275</v>
      </c>
      <c r="Q42" s="3">
        <f t="shared" si="4"/>
        <v>56</v>
      </c>
      <c r="R42" s="3">
        <f t="shared" si="5"/>
        <v>45</v>
      </c>
    </row>
    <row r="43" spans="1:18" ht="13.2" x14ac:dyDescent="0.25">
      <c r="A43" s="3" t="s">
        <v>28</v>
      </c>
      <c r="B43" s="3" t="s">
        <v>26</v>
      </c>
      <c r="C43" s="4">
        <v>45167</v>
      </c>
      <c r="D43" s="5" t="s">
        <v>2</v>
      </c>
      <c r="E43" s="6">
        <v>9</v>
      </c>
      <c r="F43" s="3">
        <v>21</v>
      </c>
      <c r="G43" s="7">
        <f t="shared" si="0"/>
        <v>2.3333333333333335</v>
      </c>
      <c r="H43" s="8">
        <v>71400</v>
      </c>
      <c r="I43" s="8">
        <f t="shared" si="1"/>
        <v>7933.333333333333</v>
      </c>
      <c r="J43" s="9">
        <v>348</v>
      </c>
      <c r="K43" s="3">
        <v>22</v>
      </c>
      <c r="L43" s="3">
        <v>30</v>
      </c>
      <c r="M43" s="3">
        <v>37</v>
      </c>
      <c r="N43" s="3">
        <v>14</v>
      </c>
      <c r="O43" s="9">
        <f t="shared" si="2"/>
        <v>103</v>
      </c>
      <c r="P43" s="7">
        <f t="shared" si="3"/>
        <v>0.71650485436893208</v>
      </c>
      <c r="Q43" s="3">
        <f t="shared" si="4"/>
        <v>52</v>
      </c>
      <c r="R43" s="3">
        <f t="shared" si="5"/>
        <v>51</v>
      </c>
    </row>
    <row r="44" spans="1:18" ht="13.2" x14ac:dyDescent="0.25">
      <c r="A44" s="3" t="s">
        <v>28</v>
      </c>
      <c r="B44" s="3" t="s">
        <v>25</v>
      </c>
      <c r="C44" s="4">
        <v>45168</v>
      </c>
      <c r="D44" s="5" t="s">
        <v>0</v>
      </c>
      <c r="E44" s="6">
        <v>6</v>
      </c>
      <c r="F44" s="3">
        <v>19</v>
      </c>
      <c r="G44" s="7">
        <f t="shared" si="0"/>
        <v>3.1666666666666665</v>
      </c>
      <c r="H44" s="8">
        <v>64600</v>
      </c>
      <c r="I44" s="8">
        <f t="shared" si="1"/>
        <v>10766.666666666666</v>
      </c>
      <c r="J44" s="9">
        <v>356</v>
      </c>
      <c r="K44" s="3">
        <v>28</v>
      </c>
      <c r="L44" s="3">
        <v>38</v>
      </c>
      <c r="M44" s="3">
        <v>40</v>
      </c>
      <c r="N44" s="3">
        <v>14</v>
      </c>
      <c r="O44" s="9">
        <f t="shared" si="2"/>
        <v>120</v>
      </c>
      <c r="P44" s="7">
        <f t="shared" si="3"/>
        <v>0.73333333333333328</v>
      </c>
      <c r="Q44" s="3">
        <f t="shared" si="4"/>
        <v>66</v>
      </c>
      <c r="R44" s="3">
        <f t="shared" si="5"/>
        <v>54</v>
      </c>
    </row>
    <row r="45" spans="1:18" ht="13.2" x14ac:dyDescent="0.25">
      <c r="A45" s="3" t="s">
        <v>28</v>
      </c>
      <c r="B45" s="3" t="s">
        <v>26</v>
      </c>
      <c r="C45" s="4">
        <v>45168</v>
      </c>
      <c r="D45" s="5" t="s">
        <v>3</v>
      </c>
      <c r="E45" s="6">
        <v>7</v>
      </c>
      <c r="F45" s="3">
        <v>19</v>
      </c>
      <c r="G45" s="7">
        <f t="shared" si="0"/>
        <v>2.7142857142857144</v>
      </c>
      <c r="H45" s="8">
        <v>64600</v>
      </c>
      <c r="I45" s="8">
        <f t="shared" si="1"/>
        <v>9228.5714285714294</v>
      </c>
      <c r="J45" s="9">
        <v>354</v>
      </c>
      <c r="K45" s="3">
        <v>28</v>
      </c>
      <c r="L45" s="3">
        <v>38</v>
      </c>
      <c r="M45" s="3">
        <v>36</v>
      </c>
      <c r="N45" s="3">
        <v>11</v>
      </c>
      <c r="O45" s="9">
        <f t="shared" si="2"/>
        <v>113</v>
      </c>
      <c r="P45" s="7">
        <f t="shared" si="3"/>
        <v>0.7469026548672566</v>
      </c>
      <c r="Q45" s="3">
        <f t="shared" si="4"/>
        <v>66</v>
      </c>
      <c r="R45" s="3">
        <f t="shared" si="5"/>
        <v>47</v>
      </c>
    </row>
    <row r="46" spans="1:18" ht="13.2" x14ac:dyDescent="0.25">
      <c r="A46" s="3" t="s">
        <v>28</v>
      </c>
      <c r="B46" s="3" t="s">
        <v>25</v>
      </c>
      <c r="C46" s="4">
        <v>45168</v>
      </c>
      <c r="D46" s="5" t="s">
        <v>4</v>
      </c>
      <c r="E46" s="6">
        <v>9</v>
      </c>
      <c r="F46" s="3">
        <v>22</v>
      </c>
      <c r="G46" s="7">
        <f t="shared" si="0"/>
        <v>2.4444444444444446</v>
      </c>
      <c r="H46" s="8">
        <v>74800</v>
      </c>
      <c r="I46" s="8">
        <f t="shared" si="1"/>
        <v>8311.1111111111113</v>
      </c>
      <c r="J46" s="9">
        <v>341</v>
      </c>
      <c r="K46" s="3">
        <v>22</v>
      </c>
      <c r="L46" s="3">
        <v>30</v>
      </c>
      <c r="M46" s="3">
        <v>31</v>
      </c>
      <c r="N46" s="3">
        <v>14</v>
      </c>
      <c r="O46" s="9">
        <f t="shared" si="2"/>
        <v>97</v>
      </c>
      <c r="P46" s="7">
        <f t="shared" si="3"/>
        <v>0.72371134020618555</v>
      </c>
      <c r="Q46" s="3">
        <f t="shared" si="4"/>
        <v>52</v>
      </c>
      <c r="R46" s="3">
        <f t="shared" si="5"/>
        <v>45</v>
      </c>
    </row>
    <row r="47" spans="1:18" ht="13.2" x14ac:dyDescent="0.25">
      <c r="A47" s="3" t="s">
        <v>28</v>
      </c>
      <c r="B47" s="3" t="s">
        <v>26</v>
      </c>
      <c r="C47" s="4">
        <v>45168</v>
      </c>
      <c r="D47" s="5" t="s">
        <v>1</v>
      </c>
      <c r="E47" s="6">
        <v>8</v>
      </c>
      <c r="F47" s="3">
        <v>16</v>
      </c>
      <c r="G47" s="7">
        <f t="shared" si="0"/>
        <v>2</v>
      </c>
      <c r="H47" s="8">
        <v>54400</v>
      </c>
      <c r="I47" s="8">
        <f t="shared" si="1"/>
        <v>6800</v>
      </c>
      <c r="J47" s="9">
        <v>376</v>
      </c>
      <c r="K47" s="3">
        <v>28</v>
      </c>
      <c r="L47" s="3">
        <v>39</v>
      </c>
      <c r="M47" s="3">
        <v>33</v>
      </c>
      <c r="N47" s="3">
        <v>12</v>
      </c>
      <c r="O47" s="9">
        <f t="shared" si="2"/>
        <v>112</v>
      </c>
      <c r="P47" s="7">
        <f t="shared" si="3"/>
        <v>0.74821428571428572</v>
      </c>
      <c r="Q47" s="3">
        <f t="shared" si="4"/>
        <v>67</v>
      </c>
      <c r="R47" s="3">
        <f t="shared" si="5"/>
        <v>45</v>
      </c>
    </row>
    <row r="48" spans="1:18" ht="13.2" x14ac:dyDescent="0.25">
      <c r="A48" s="3" t="s">
        <v>28</v>
      </c>
      <c r="B48" s="3" t="s">
        <v>25</v>
      </c>
      <c r="C48" s="4">
        <v>45171</v>
      </c>
      <c r="D48" s="5" t="s">
        <v>5</v>
      </c>
      <c r="E48" s="6">
        <v>7</v>
      </c>
      <c r="F48" s="3">
        <v>16</v>
      </c>
      <c r="G48" s="7">
        <f t="shared" si="0"/>
        <v>2.2857142857142856</v>
      </c>
      <c r="H48" s="8">
        <v>54400</v>
      </c>
      <c r="I48" s="8">
        <f t="shared" si="1"/>
        <v>7771.4285714285716</v>
      </c>
      <c r="J48" s="9">
        <v>353</v>
      </c>
      <c r="K48" s="3">
        <v>27</v>
      </c>
      <c r="L48" s="3">
        <v>37</v>
      </c>
      <c r="M48" s="3">
        <v>35</v>
      </c>
      <c r="N48" s="3">
        <v>12</v>
      </c>
      <c r="O48" s="9">
        <f t="shared" si="2"/>
        <v>111</v>
      </c>
      <c r="P48" s="7">
        <f t="shared" si="3"/>
        <v>0.74234234234234231</v>
      </c>
      <c r="Q48" s="3">
        <f t="shared" si="4"/>
        <v>64</v>
      </c>
      <c r="R48" s="3">
        <f t="shared" si="5"/>
        <v>47</v>
      </c>
    </row>
    <row r="49" spans="1:18" ht="13.2" x14ac:dyDescent="0.25">
      <c r="A49" s="3" t="s">
        <v>28</v>
      </c>
      <c r="B49" s="3" t="s">
        <v>26</v>
      </c>
      <c r="C49" s="4">
        <v>45173</v>
      </c>
      <c r="D49" s="5" t="s">
        <v>2</v>
      </c>
      <c r="E49" s="6">
        <v>9</v>
      </c>
      <c r="F49" s="3">
        <v>15</v>
      </c>
      <c r="G49" s="7">
        <f t="shared" si="0"/>
        <v>1.6666666666666667</v>
      </c>
      <c r="H49" s="8">
        <v>51000</v>
      </c>
      <c r="I49" s="8">
        <f t="shared" si="1"/>
        <v>5666.666666666667</v>
      </c>
      <c r="J49" s="9">
        <v>324</v>
      </c>
      <c r="K49" s="3">
        <v>33</v>
      </c>
      <c r="L49" s="3">
        <v>32</v>
      </c>
      <c r="M49" s="3">
        <v>31</v>
      </c>
      <c r="N49" s="3">
        <v>14</v>
      </c>
      <c r="O49" s="9">
        <f t="shared" si="2"/>
        <v>110</v>
      </c>
      <c r="P49" s="7">
        <f t="shared" si="3"/>
        <v>0.75272727272727269</v>
      </c>
      <c r="Q49" s="3">
        <f t="shared" si="4"/>
        <v>65</v>
      </c>
      <c r="R49" s="3">
        <f t="shared" si="5"/>
        <v>45</v>
      </c>
    </row>
    <row r="50" spans="1:18" ht="13.2" x14ac:dyDescent="0.25">
      <c r="A50" s="3" t="s">
        <v>29</v>
      </c>
      <c r="B50" s="3" t="s">
        <v>25</v>
      </c>
      <c r="C50" s="4">
        <v>45174</v>
      </c>
      <c r="D50" s="5" t="s">
        <v>0</v>
      </c>
      <c r="E50" s="6">
        <v>7</v>
      </c>
      <c r="F50" s="3">
        <v>18</v>
      </c>
      <c r="G50" s="7">
        <f t="shared" si="0"/>
        <v>2.5714285714285716</v>
      </c>
      <c r="H50" s="8">
        <v>61200</v>
      </c>
      <c r="I50" s="8">
        <f t="shared" si="1"/>
        <v>8742.8571428571431</v>
      </c>
      <c r="J50" s="9">
        <v>364</v>
      </c>
      <c r="K50" s="3">
        <v>21</v>
      </c>
      <c r="L50" s="3">
        <v>32</v>
      </c>
      <c r="M50" s="3">
        <v>37</v>
      </c>
      <c r="N50" s="3">
        <v>13</v>
      </c>
      <c r="O50" s="9">
        <f t="shared" si="2"/>
        <v>103</v>
      </c>
      <c r="P50" s="7">
        <f t="shared" si="3"/>
        <v>0.71844660194174759</v>
      </c>
      <c r="Q50" s="3">
        <f t="shared" si="4"/>
        <v>53</v>
      </c>
      <c r="R50" s="3">
        <f t="shared" si="5"/>
        <v>50</v>
      </c>
    </row>
    <row r="51" spans="1:18" ht="13.2" x14ac:dyDescent="0.25">
      <c r="A51" s="3" t="s">
        <v>29</v>
      </c>
      <c r="B51" s="3" t="s">
        <v>26</v>
      </c>
      <c r="C51" s="4">
        <v>45174</v>
      </c>
      <c r="D51" s="5" t="s">
        <v>3</v>
      </c>
      <c r="E51" s="6">
        <v>8</v>
      </c>
      <c r="F51" s="3">
        <v>20</v>
      </c>
      <c r="G51" s="7">
        <f t="shared" si="0"/>
        <v>2.5</v>
      </c>
      <c r="H51" s="8">
        <v>68000</v>
      </c>
      <c r="I51" s="8">
        <f t="shared" si="1"/>
        <v>8500</v>
      </c>
      <c r="J51" s="9">
        <v>357</v>
      </c>
      <c r="K51" s="3">
        <v>24</v>
      </c>
      <c r="L51" s="3">
        <v>30</v>
      </c>
      <c r="M51" s="3">
        <v>39</v>
      </c>
      <c r="N51" s="3">
        <v>11</v>
      </c>
      <c r="O51" s="9">
        <f t="shared" si="2"/>
        <v>104</v>
      </c>
      <c r="P51" s="7">
        <f t="shared" si="3"/>
        <v>0.72884615384615381</v>
      </c>
      <c r="Q51" s="3">
        <f t="shared" si="4"/>
        <v>54</v>
      </c>
      <c r="R51" s="3">
        <f t="shared" si="5"/>
        <v>50</v>
      </c>
    </row>
    <row r="52" spans="1:18" ht="13.2" x14ac:dyDescent="0.25">
      <c r="A52" s="3" t="s">
        <v>29</v>
      </c>
      <c r="B52" s="3" t="s">
        <v>25</v>
      </c>
      <c r="C52" s="4">
        <v>45174</v>
      </c>
      <c r="D52" s="5" t="s">
        <v>4</v>
      </c>
      <c r="E52" s="6">
        <v>8</v>
      </c>
      <c r="F52" s="3">
        <v>15</v>
      </c>
      <c r="G52" s="7">
        <f t="shared" si="0"/>
        <v>1.875</v>
      </c>
      <c r="H52" s="8">
        <v>51000</v>
      </c>
      <c r="I52" s="8">
        <f t="shared" si="1"/>
        <v>6375</v>
      </c>
      <c r="J52" s="9">
        <v>301</v>
      </c>
      <c r="K52" s="3">
        <v>27</v>
      </c>
      <c r="L52" s="3">
        <v>39</v>
      </c>
      <c r="M52" s="3">
        <v>39</v>
      </c>
      <c r="N52" s="3">
        <v>11</v>
      </c>
      <c r="O52" s="9">
        <f t="shared" si="2"/>
        <v>116</v>
      </c>
      <c r="P52" s="7">
        <f t="shared" si="3"/>
        <v>0.74137931034482762</v>
      </c>
      <c r="Q52" s="3">
        <f t="shared" si="4"/>
        <v>66</v>
      </c>
      <c r="R52" s="3">
        <f t="shared" si="5"/>
        <v>50</v>
      </c>
    </row>
    <row r="53" spans="1:18" ht="13.2" x14ac:dyDescent="0.25">
      <c r="A53" s="3" t="s">
        <v>29</v>
      </c>
      <c r="B53" s="3" t="s">
        <v>26</v>
      </c>
      <c r="C53" s="4">
        <v>45175</v>
      </c>
      <c r="D53" s="5" t="s">
        <v>1</v>
      </c>
      <c r="E53" s="6">
        <v>7</v>
      </c>
      <c r="F53" s="3">
        <v>16</v>
      </c>
      <c r="G53" s="7">
        <f t="shared" si="0"/>
        <v>2.2857142857142856</v>
      </c>
      <c r="H53" s="8">
        <v>54400</v>
      </c>
      <c r="I53" s="8">
        <f t="shared" si="1"/>
        <v>7771.4285714285716</v>
      </c>
      <c r="J53" s="9">
        <v>398</v>
      </c>
      <c r="K53" s="3">
        <v>29</v>
      </c>
      <c r="L53" s="3">
        <v>31</v>
      </c>
      <c r="M53" s="3">
        <v>33</v>
      </c>
      <c r="N53" s="3">
        <v>11</v>
      </c>
      <c r="O53" s="9">
        <f t="shared" si="2"/>
        <v>104</v>
      </c>
      <c r="P53" s="7">
        <f t="shared" si="3"/>
        <v>0.75</v>
      </c>
      <c r="Q53" s="3">
        <f t="shared" si="4"/>
        <v>60</v>
      </c>
      <c r="R53" s="3">
        <f t="shared" si="5"/>
        <v>44</v>
      </c>
    </row>
    <row r="54" spans="1:18" ht="13.2" x14ac:dyDescent="0.25">
      <c r="A54" s="3" t="s">
        <v>29</v>
      </c>
      <c r="B54" s="3" t="s">
        <v>25</v>
      </c>
      <c r="C54" s="4">
        <v>45177</v>
      </c>
      <c r="D54" s="5" t="s">
        <v>5</v>
      </c>
      <c r="E54" s="6">
        <v>8</v>
      </c>
      <c r="F54" s="3">
        <v>19</v>
      </c>
      <c r="G54" s="7">
        <f t="shared" si="0"/>
        <v>2.375</v>
      </c>
      <c r="H54" s="8">
        <v>64600</v>
      </c>
      <c r="I54" s="8">
        <f t="shared" si="1"/>
        <v>8075</v>
      </c>
      <c r="J54" s="9">
        <v>324</v>
      </c>
      <c r="K54" s="3">
        <v>22</v>
      </c>
      <c r="L54" s="3">
        <v>36</v>
      </c>
      <c r="M54" s="3">
        <v>39</v>
      </c>
      <c r="N54" s="3">
        <v>14</v>
      </c>
      <c r="O54" s="9">
        <f t="shared" si="2"/>
        <v>111</v>
      </c>
      <c r="P54" s="7">
        <f t="shared" si="3"/>
        <v>0.7189189189189189</v>
      </c>
      <c r="Q54" s="3">
        <f t="shared" si="4"/>
        <v>58</v>
      </c>
      <c r="R54" s="3">
        <f t="shared" si="5"/>
        <v>53</v>
      </c>
    </row>
    <row r="55" spans="1:18" ht="13.2" x14ac:dyDescent="0.25">
      <c r="A55" s="3" t="s">
        <v>29</v>
      </c>
      <c r="B55" s="3" t="s">
        <v>26</v>
      </c>
      <c r="C55" s="4">
        <v>45179</v>
      </c>
      <c r="D55" s="5" t="s">
        <v>2</v>
      </c>
      <c r="E55" s="6">
        <v>7</v>
      </c>
      <c r="F55" s="3">
        <v>19</v>
      </c>
      <c r="G55" s="7">
        <f t="shared" si="0"/>
        <v>2.7142857142857144</v>
      </c>
      <c r="H55" s="8">
        <v>64600</v>
      </c>
      <c r="I55" s="8">
        <f t="shared" si="1"/>
        <v>9228.5714285714294</v>
      </c>
      <c r="J55" s="9">
        <v>307</v>
      </c>
      <c r="K55" s="3">
        <v>36</v>
      </c>
      <c r="L55" s="3">
        <v>33</v>
      </c>
      <c r="M55" s="3">
        <v>40</v>
      </c>
      <c r="N55" s="3">
        <v>11</v>
      </c>
      <c r="O55" s="9">
        <f t="shared" si="2"/>
        <v>120</v>
      </c>
      <c r="P55" s="7">
        <f t="shared" si="3"/>
        <v>0.75666666666666671</v>
      </c>
      <c r="Q55" s="3">
        <f t="shared" si="4"/>
        <v>69</v>
      </c>
      <c r="R55" s="3">
        <f t="shared" si="5"/>
        <v>51</v>
      </c>
    </row>
    <row r="56" spans="1:18" ht="13.2" x14ac:dyDescent="0.25">
      <c r="A56" s="3" t="s">
        <v>29</v>
      </c>
      <c r="B56" s="3" t="s">
        <v>25</v>
      </c>
      <c r="C56" s="4">
        <v>45180</v>
      </c>
      <c r="D56" s="5" t="s">
        <v>0</v>
      </c>
      <c r="E56" s="6">
        <v>6</v>
      </c>
      <c r="F56" s="3">
        <v>16</v>
      </c>
      <c r="G56" s="7">
        <f t="shared" si="0"/>
        <v>2.6666666666666665</v>
      </c>
      <c r="H56" s="8">
        <v>54400</v>
      </c>
      <c r="I56" s="8">
        <f t="shared" si="1"/>
        <v>9066.6666666666661</v>
      </c>
      <c r="J56" s="9">
        <v>327</v>
      </c>
      <c r="K56" s="3">
        <v>28</v>
      </c>
      <c r="L56" s="3">
        <v>33</v>
      </c>
      <c r="M56" s="3">
        <v>37</v>
      </c>
      <c r="N56" s="3">
        <v>12</v>
      </c>
      <c r="O56" s="9">
        <f t="shared" si="2"/>
        <v>110</v>
      </c>
      <c r="P56" s="7">
        <f t="shared" si="3"/>
        <v>0.74</v>
      </c>
      <c r="Q56" s="3">
        <f t="shared" si="4"/>
        <v>61</v>
      </c>
      <c r="R56" s="3">
        <f t="shared" si="5"/>
        <v>49</v>
      </c>
    </row>
    <row r="57" spans="1:18" ht="13.2" x14ac:dyDescent="0.25">
      <c r="A57" s="3" t="s">
        <v>29</v>
      </c>
      <c r="B57" s="3" t="s">
        <v>26</v>
      </c>
      <c r="C57" s="4">
        <v>45181</v>
      </c>
      <c r="D57" s="5" t="s">
        <v>3</v>
      </c>
      <c r="E57" s="6">
        <v>7</v>
      </c>
      <c r="F57" s="3">
        <v>16</v>
      </c>
      <c r="G57" s="7">
        <f t="shared" si="0"/>
        <v>2.2857142857142856</v>
      </c>
      <c r="H57" s="8">
        <v>54400</v>
      </c>
      <c r="I57" s="8">
        <f t="shared" si="1"/>
        <v>7771.4285714285716</v>
      </c>
      <c r="J57" s="9">
        <v>394</v>
      </c>
      <c r="K57" s="3">
        <v>29</v>
      </c>
      <c r="L57" s="3">
        <v>37</v>
      </c>
      <c r="M57" s="3">
        <v>34</v>
      </c>
      <c r="N57" s="3">
        <v>11</v>
      </c>
      <c r="O57" s="9">
        <f t="shared" si="2"/>
        <v>111</v>
      </c>
      <c r="P57" s="7">
        <f t="shared" si="3"/>
        <v>0.75135135135135134</v>
      </c>
      <c r="Q57" s="3">
        <f t="shared" si="4"/>
        <v>66</v>
      </c>
      <c r="R57" s="3">
        <f t="shared" si="5"/>
        <v>45</v>
      </c>
    </row>
    <row r="58" spans="1:18" ht="13.2" x14ac:dyDescent="0.25">
      <c r="A58" s="3" t="s">
        <v>29</v>
      </c>
      <c r="B58" s="3" t="s">
        <v>25</v>
      </c>
      <c r="C58" s="4">
        <v>45183</v>
      </c>
      <c r="D58" s="5" t="s">
        <v>4</v>
      </c>
      <c r="E58" s="6">
        <v>9</v>
      </c>
      <c r="F58" s="3">
        <v>24</v>
      </c>
      <c r="G58" s="7">
        <f t="shared" si="0"/>
        <v>2.6666666666666665</v>
      </c>
      <c r="H58" s="8">
        <v>81600</v>
      </c>
      <c r="I58" s="8">
        <f t="shared" si="1"/>
        <v>9066.6666666666661</v>
      </c>
      <c r="J58" s="9">
        <v>369</v>
      </c>
      <c r="K58" s="3">
        <v>21</v>
      </c>
      <c r="L58" s="3">
        <v>40</v>
      </c>
      <c r="M58" s="3">
        <v>34</v>
      </c>
      <c r="N58" s="3">
        <v>15</v>
      </c>
      <c r="O58" s="9">
        <f t="shared" si="2"/>
        <v>110</v>
      </c>
      <c r="P58" s="7">
        <f t="shared" si="3"/>
        <v>0.7218181818181818</v>
      </c>
      <c r="Q58" s="3">
        <f t="shared" si="4"/>
        <v>61</v>
      </c>
      <c r="R58" s="3">
        <f t="shared" si="5"/>
        <v>49</v>
      </c>
    </row>
    <row r="59" spans="1:18" ht="13.2" x14ac:dyDescent="0.25">
      <c r="A59" s="3" t="s">
        <v>29</v>
      </c>
      <c r="B59" s="3" t="s">
        <v>26</v>
      </c>
      <c r="C59" s="4">
        <v>45183</v>
      </c>
      <c r="D59" s="5" t="s">
        <v>1</v>
      </c>
      <c r="E59" s="6">
        <v>9</v>
      </c>
      <c r="F59" s="3">
        <v>24</v>
      </c>
      <c r="G59" s="7">
        <f t="shared" si="0"/>
        <v>2.6666666666666665</v>
      </c>
      <c r="H59" s="8">
        <v>81600</v>
      </c>
      <c r="I59" s="8">
        <f t="shared" si="1"/>
        <v>9066.6666666666661</v>
      </c>
      <c r="J59" s="9">
        <v>338</v>
      </c>
      <c r="K59" s="3">
        <v>28</v>
      </c>
      <c r="L59" s="3">
        <v>35</v>
      </c>
      <c r="M59" s="3">
        <v>39</v>
      </c>
      <c r="N59" s="3">
        <v>15</v>
      </c>
      <c r="O59" s="9">
        <f t="shared" si="2"/>
        <v>117</v>
      </c>
      <c r="P59" s="7">
        <f t="shared" si="3"/>
        <v>0.72991452991452987</v>
      </c>
      <c r="Q59" s="3">
        <f t="shared" si="4"/>
        <v>63</v>
      </c>
      <c r="R59" s="3">
        <f t="shared" si="5"/>
        <v>54</v>
      </c>
    </row>
    <row r="60" spans="1:18" ht="13.2" x14ac:dyDescent="0.25">
      <c r="A60" s="3" t="s">
        <v>30</v>
      </c>
      <c r="B60" s="3" t="s">
        <v>25</v>
      </c>
      <c r="C60" s="4">
        <v>45184</v>
      </c>
      <c r="D60" s="5" t="s">
        <v>5</v>
      </c>
      <c r="E60" s="6">
        <v>7</v>
      </c>
      <c r="F60" s="3">
        <v>22</v>
      </c>
      <c r="G60" s="7">
        <f t="shared" si="0"/>
        <v>3.1428571428571428</v>
      </c>
      <c r="H60" s="8">
        <v>74800</v>
      </c>
      <c r="I60" s="8">
        <f t="shared" si="1"/>
        <v>10685.714285714286</v>
      </c>
      <c r="J60" s="9">
        <v>377</v>
      </c>
      <c r="K60" s="3">
        <v>27</v>
      </c>
      <c r="L60" s="3">
        <v>30</v>
      </c>
      <c r="M60" s="3">
        <v>34</v>
      </c>
      <c r="N60" s="3">
        <v>10</v>
      </c>
      <c r="O60" s="9">
        <f t="shared" si="2"/>
        <v>101</v>
      </c>
      <c r="P60" s="7">
        <f t="shared" si="3"/>
        <v>0.74653465346534653</v>
      </c>
      <c r="Q60" s="3">
        <f t="shared" si="4"/>
        <v>57</v>
      </c>
      <c r="R60" s="3">
        <f t="shared" si="5"/>
        <v>44</v>
      </c>
    </row>
    <row r="61" spans="1:18" ht="13.2" x14ac:dyDescent="0.25">
      <c r="A61" s="3" t="s">
        <v>30</v>
      </c>
      <c r="B61" s="3" t="s">
        <v>26</v>
      </c>
      <c r="C61" s="4">
        <v>45185</v>
      </c>
      <c r="D61" s="5" t="s">
        <v>2</v>
      </c>
      <c r="E61" s="6">
        <v>7</v>
      </c>
      <c r="F61" s="3">
        <v>17</v>
      </c>
      <c r="G61" s="7">
        <f t="shared" si="0"/>
        <v>2.4285714285714284</v>
      </c>
      <c r="H61" s="8">
        <v>57800</v>
      </c>
      <c r="I61" s="8">
        <f t="shared" si="1"/>
        <v>8257.1428571428569</v>
      </c>
      <c r="J61" s="9">
        <v>398</v>
      </c>
      <c r="K61" s="3">
        <v>28</v>
      </c>
      <c r="L61" s="3">
        <v>31</v>
      </c>
      <c r="M61" s="3">
        <v>32</v>
      </c>
      <c r="N61" s="3">
        <v>10</v>
      </c>
      <c r="O61" s="9">
        <f t="shared" si="2"/>
        <v>101</v>
      </c>
      <c r="P61" s="7">
        <f t="shared" si="3"/>
        <v>0.75247524752475248</v>
      </c>
      <c r="Q61" s="3">
        <f t="shared" si="4"/>
        <v>59</v>
      </c>
      <c r="R61" s="3">
        <f t="shared" si="5"/>
        <v>42</v>
      </c>
    </row>
    <row r="62" spans="1:18" ht="13.2" x14ac:dyDescent="0.25">
      <c r="A62" s="3" t="s">
        <v>30</v>
      </c>
      <c r="B62" s="3" t="s">
        <v>25</v>
      </c>
      <c r="C62" s="4">
        <v>45185</v>
      </c>
      <c r="D62" s="5" t="s">
        <v>0</v>
      </c>
      <c r="E62" s="6">
        <v>7</v>
      </c>
      <c r="F62" s="3">
        <v>23</v>
      </c>
      <c r="G62" s="7">
        <f t="shared" si="0"/>
        <v>3.2857142857142856</v>
      </c>
      <c r="H62" s="8">
        <v>78200</v>
      </c>
      <c r="I62" s="8">
        <f t="shared" si="1"/>
        <v>11171.428571428571</v>
      </c>
      <c r="J62" s="9">
        <v>320</v>
      </c>
      <c r="K62" s="3">
        <v>23</v>
      </c>
      <c r="L62" s="3">
        <v>30</v>
      </c>
      <c r="M62" s="3">
        <v>39</v>
      </c>
      <c r="N62" s="3">
        <v>12</v>
      </c>
      <c r="O62" s="9">
        <f t="shared" si="2"/>
        <v>104</v>
      </c>
      <c r="P62" s="7">
        <f t="shared" si="3"/>
        <v>0.72307692307692306</v>
      </c>
      <c r="Q62" s="3">
        <f t="shared" si="4"/>
        <v>53</v>
      </c>
      <c r="R62" s="3">
        <f t="shared" si="5"/>
        <v>51</v>
      </c>
    </row>
    <row r="63" spans="1:18" ht="13.2" x14ac:dyDescent="0.25">
      <c r="A63" s="3" t="s">
        <v>30</v>
      </c>
      <c r="B63" s="3" t="s">
        <v>26</v>
      </c>
      <c r="C63" s="4">
        <v>45188</v>
      </c>
      <c r="D63" s="5" t="s">
        <v>3</v>
      </c>
      <c r="E63" s="6">
        <v>8</v>
      </c>
      <c r="F63" s="3">
        <v>25</v>
      </c>
      <c r="G63" s="7">
        <f t="shared" si="0"/>
        <v>3.125</v>
      </c>
      <c r="H63" s="8">
        <v>85000</v>
      </c>
      <c r="I63" s="8">
        <f t="shared" si="1"/>
        <v>10625</v>
      </c>
      <c r="J63" s="9">
        <v>338</v>
      </c>
      <c r="K63" s="3">
        <v>24</v>
      </c>
      <c r="L63" s="3">
        <v>34</v>
      </c>
      <c r="M63" s="3">
        <v>33</v>
      </c>
      <c r="N63" s="3">
        <v>12</v>
      </c>
      <c r="O63" s="9">
        <f t="shared" si="2"/>
        <v>103</v>
      </c>
      <c r="P63" s="7">
        <f t="shared" si="3"/>
        <v>0.73592233009708741</v>
      </c>
      <c r="Q63" s="3">
        <f t="shared" si="4"/>
        <v>58</v>
      </c>
      <c r="R63" s="3">
        <f t="shared" si="5"/>
        <v>45</v>
      </c>
    </row>
    <row r="64" spans="1:18" ht="13.2" x14ac:dyDescent="0.25">
      <c r="A64" s="3" t="s">
        <v>30</v>
      </c>
      <c r="B64" s="3" t="s">
        <v>25</v>
      </c>
      <c r="C64" s="4">
        <v>45189</v>
      </c>
      <c r="D64" s="5" t="s">
        <v>4</v>
      </c>
      <c r="E64" s="6">
        <v>6</v>
      </c>
      <c r="F64" s="3">
        <v>23</v>
      </c>
      <c r="G64" s="7">
        <f t="shared" si="0"/>
        <v>3.8333333333333335</v>
      </c>
      <c r="H64" s="8">
        <v>78200</v>
      </c>
      <c r="I64" s="8">
        <f t="shared" si="1"/>
        <v>13033.333333333334</v>
      </c>
      <c r="J64" s="9">
        <v>371</v>
      </c>
      <c r="K64" s="3">
        <v>29</v>
      </c>
      <c r="L64" s="3">
        <v>30</v>
      </c>
      <c r="M64" s="3">
        <v>38</v>
      </c>
      <c r="N64" s="3">
        <v>12</v>
      </c>
      <c r="O64" s="9">
        <f t="shared" si="2"/>
        <v>109</v>
      </c>
      <c r="P64" s="7">
        <f t="shared" si="3"/>
        <v>0.73944954128440366</v>
      </c>
      <c r="Q64" s="3">
        <f t="shared" si="4"/>
        <v>59</v>
      </c>
      <c r="R64" s="3">
        <f t="shared" si="5"/>
        <v>50</v>
      </c>
    </row>
    <row r="65" spans="1:18" ht="13.2" x14ac:dyDescent="0.25">
      <c r="A65" s="3" t="s">
        <v>30</v>
      </c>
      <c r="B65" s="3" t="s">
        <v>26</v>
      </c>
      <c r="C65" s="4">
        <v>45190</v>
      </c>
      <c r="D65" s="5" t="s">
        <v>1</v>
      </c>
      <c r="E65" s="6">
        <v>8</v>
      </c>
      <c r="F65" s="3">
        <v>17</v>
      </c>
      <c r="G65" s="7">
        <f t="shared" si="0"/>
        <v>2.125</v>
      </c>
      <c r="H65" s="8">
        <v>57800</v>
      </c>
      <c r="I65" s="8">
        <f t="shared" si="1"/>
        <v>7225</v>
      </c>
      <c r="J65" s="9">
        <v>347</v>
      </c>
      <c r="K65" s="3">
        <v>20</v>
      </c>
      <c r="L65" s="3">
        <v>40</v>
      </c>
      <c r="M65" s="3">
        <v>35</v>
      </c>
      <c r="N65" s="3">
        <v>15</v>
      </c>
      <c r="O65" s="9">
        <f t="shared" si="2"/>
        <v>110</v>
      </c>
      <c r="P65" s="7">
        <f t="shared" si="3"/>
        <v>0.71818181818181814</v>
      </c>
      <c r="Q65" s="3">
        <f t="shared" si="4"/>
        <v>60</v>
      </c>
      <c r="R65" s="3">
        <f t="shared" si="5"/>
        <v>50</v>
      </c>
    </row>
    <row r="66" spans="1:18" ht="13.2" x14ac:dyDescent="0.25">
      <c r="A66" s="3" t="s">
        <v>30</v>
      </c>
      <c r="B66" s="3" t="s">
        <v>25</v>
      </c>
      <c r="C66" s="4">
        <v>45191</v>
      </c>
      <c r="D66" s="5" t="s">
        <v>5</v>
      </c>
      <c r="E66" s="6">
        <v>9</v>
      </c>
      <c r="F66" s="3">
        <v>23</v>
      </c>
      <c r="G66" s="7">
        <f t="shared" si="0"/>
        <v>2.5555555555555554</v>
      </c>
      <c r="H66" s="8">
        <v>78200</v>
      </c>
      <c r="I66" s="8">
        <f t="shared" si="1"/>
        <v>8688.8888888888887</v>
      </c>
      <c r="J66" s="9">
        <v>368</v>
      </c>
      <c r="K66" s="3">
        <v>30</v>
      </c>
      <c r="L66" s="3">
        <v>40</v>
      </c>
      <c r="M66" s="3">
        <v>38</v>
      </c>
      <c r="N66" s="3">
        <v>15</v>
      </c>
      <c r="O66" s="9">
        <f t="shared" si="2"/>
        <v>123</v>
      </c>
      <c r="P66" s="7">
        <f t="shared" si="3"/>
        <v>0.73821138211382109</v>
      </c>
      <c r="Q66" s="3">
        <f t="shared" si="4"/>
        <v>70</v>
      </c>
      <c r="R66" s="3">
        <f t="shared" si="5"/>
        <v>53</v>
      </c>
    </row>
    <row r="67" spans="1:18" ht="13.2" x14ac:dyDescent="0.25">
      <c r="A67" s="3" t="s">
        <v>30</v>
      </c>
      <c r="B67" s="3" t="s">
        <v>26</v>
      </c>
      <c r="C67" s="4">
        <v>45192</v>
      </c>
      <c r="D67" s="5" t="s">
        <v>2</v>
      </c>
      <c r="E67" s="6">
        <v>8</v>
      </c>
      <c r="F67" s="3">
        <v>25</v>
      </c>
      <c r="G67" s="7">
        <f t="shared" ref="G67:G121" si="6">F67/E67</f>
        <v>3.125</v>
      </c>
      <c r="H67" s="8">
        <v>85000</v>
      </c>
      <c r="I67" s="8">
        <f t="shared" ref="I67:I121" si="7">H67/E67</f>
        <v>10625</v>
      </c>
      <c r="J67" s="9">
        <v>353</v>
      </c>
      <c r="K67" s="3">
        <v>38</v>
      </c>
      <c r="L67" s="3">
        <v>31</v>
      </c>
      <c r="M67" s="3">
        <v>37</v>
      </c>
      <c r="N67" s="3">
        <v>13</v>
      </c>
      <c r="O67" s="9">
        <f t="shared" ref="O67:O121" si="8">SUM(K67:N67)</f>
        <v>119</v>
      </c>
      <c r="P67" s="7">
        <f t="shared" ref="P67:P121" si="9">(K67*5+L67*4+M67*3+N67*2)/(O67*5)</f>
        <v>0.7579831932773109</v>
      </c>
      <c r="Q67" s="3">
        <f t="shared" si="4"/>
        <v>69</v>
      </c>
      <c r="R67" s="3">
        <f t="shared" si="5"/>
        <v>50</v>
      </c>
    </row>
    <row r="68" spans="1:18" ht="13.2" x14ac:dyDescent="0.25">
      <c r="A68" s="3" t="s">
        <v>30</v>
      </c>
      <c r="B68" s="3" t="s">
        <v>25</v>
      </c>
      <c r="C68" s="4">
        <v>45193</v>
      </c>
      <c r="D68" s="5" t="s">
        <v>0</v>
      </c>
      <c r="E68" s="6">
        <v>6</v>
      </c>
      <c r="F68" s="3">
        <v>24</v>
      </c>
      <c r="G68" s="7">
        <f t="shared" si="6"/>
        <v>4</v>
      </c>
      <c r="H68" s="8">
        <v>81600</v>
      </c>
      <c r="I68" s="8">
        <f t="shared" si="7"/>
        <v>13600</v>
      </c>
      <c r="J68" s="9">
        <v>339</v>
      </c>
      <c r="K68" s="3">
        <v>30</v>
      </c>
      <c r="L68" s="3">
        <v>40</v>
      </c>
      <c r="M68" s="3">
        <v>30</v>
      </c>
      <c r="N68" s="3">
        <v>11</v>
      </c>
      <c r="O68" s="9">
        <f t="shared" si="8"/>
        <v>111</v>
      </c>
      <c r="P68" s="7">
        <f t="shared" si="9"/>
        <v>0.76036036036036037</v>
      </c>
      <c r="Q68" s="3">
        <f t="shared" si="4"/>
        <v>70</v>
      </c>
      <c r="R68" s="3">
        <f t="shared" si="5"/>
        <v>41</v>
      </c>
    </row>
    <row r="69" spans="1:18" ht="13.2" x14ac:dyDescent="0.25">
      <c r="A69" s="3" t="s">
        <v>30</v>
      </c>
      <c r="B69" s="3" t="s">
        <v>26</v>
      </c>
      <c r="C69" s="4">
        <v>45193</v>
      </c>
      <c r="D69" s="5" t="s">
        <v>3</v>
      </c>
      <c r="E69" s="6">
        <v>6</v>
      </c>
      <c r="F69" s="3">
        <v>16</v>
      </c>
      <c r="G69" s="7">
        <f t="shared" si="6"/>
        <v>2.6666666666666665</v>
      </c>
      <c r="H69" s="8">
        <v>54400</v>
      </c>
      <c r="I69" s="8">
        <f t="shared" si="7"/>
        <v>9066.6666666666661</v>
      </c>
      <c r="J69" s="9">
        <v>395</v>
      </c>
      <c r="K69" s="3">
        <v>23</v>
      </c>
      <c r="L69" s="3">
        <v>35</v>
      </c>
      <c r="M69" s="3">
        <v>37</v>
      </c>
      <c r="N69" s="3">
        <v>12</v>
      </c>
      <c r="O69" s="9">
        <f t="shared" si="8"/>
        <v>107</v>
      </c>
      <c r="P69" s="7">
        <f t="shared" si="9"/>
        <v>0.7289719626168224</v>
      </c>
      <c r="Q69" s="3">
        <f t="shared" si="4"/>
        <v>58</v>
      </c>
      <c r="R69" s="3">
        <f t="shared" si="5"/>
        <v>49</v>
      </c>
    </row>
    <row r="70" spans="1:18" ht="13.2" x14ac:dyDescent="0.25">
      <c r="A70" s="3" t="s">
        <v>31</v>
      </c>
      <c r="B70" s="3" t="s">
        <v>25</v>
      </c>
      <c r="C70" s="4">
        <v>45194</v>
      </c>
      <c r="D70" s="5" t="s">
        <v>4</v>
      </c>
      <c r="E70" s="6">
        <v>6</v>
      </c>
      <c r="F70" s="3">
        <v>19</v>
      </c>
      <c r="G70" s="7">
        <f t="shared" si="6"/>
        <v>3.1666666666666665</v>
      </c>
      <c r="H70" s="8">
        <v>64600</v>
      </c>
      <c r="I70" s="8">
        <f t="shared" si="7"/>
        <v>10766.666666666666</v>
      </c>
      <c r="J70" s="9">
        <v>316</v>
      </c>
      <c r="K70" s="3">
        <v>30</v>
      </c>
      <c r="L70" s="3">
        <v>40</v>
      </c>
      <c r="M70" s="3">
        <v>36</v>
      </c>
      <c r="N70" s="3">
        <v>15</v>
      </c>
      <c r="O70" s="9">
        <f t="shared" si="8"/>
        <v>121</v>
      </c>
      <c r="P70" s="7">
        <f t="shared" si="9"/>
        <v>0.740495867768595</v>
      </c>
      <c r="Q70" s="3">
        <f t="shared" si="4"/>
        <v>70</v>
      </c>
      <c r="R70" s="3">
        <f t="shared" si="5"/>
        <v>51</v>
      </c>
    </row>
    <row r="71" spans="1:18" ht="13.2" x14ac:dyDescent="0.25">
      <c r="A71" s="3" t="s">
        <v>31</v>
      </c>
      <c r="B71" s="3" t="s">
        <v>26</v>
      </c>
      <c r="C71" s="4">
        <v>45194</v>
      </c>
      <c r="D71" s="5" t="s">
        <v>1</v>
      </c>
      <c r="E71" s="6">
        <v>9</v>
      </c>
      <c r="F71" s="3">
        <v>25</v>
      </c>
      <c r="G71" s="7">
        <f t="shared" si="6"/>
        <v>2.7777777777777777</v>
      </c>
      <c r="H71" s="8">
        <v>85000</v>
      </c>
      <c r="I71" s="8">
        <f t="shared" si="7"/>
        <v>9444.4444444444453</v>
      </c>
      <c r="J71" s="9">
        <v>383</v>
      </c>
      <c r="K71" s="3">
        <v>30</v>
      </c>
      <c r="L71" s="3">
        <v>30</v>
      </c>
      <c r="M71" s="3">
        <v>36</v>
      </c>
      <c r="N71" s="3">
        <v>10</v>
      </c>
      <c r="O71" s="9">
        <f t="shared" si="8"/>
        <v>106</v>
      </c>
      <c r="P71" s="7">
        <f t="shared" si="9"/>
        <v>0.75094339622641515</v>
      </c>
      <c r="Q71" s="3">
        <f t="shared" si="4"/>
        <v>60</v>
      </c>
      <c r="R71" s="3">
        <f t="shared" si="5"/>
        <v>46</v>
      </c>
    </row>
    <row r="72" spans="1:18" ht="13.2" x14ac:dyDescent="0.25">
      <c r="A72" s="3" t="s">
        <v>31</v>
      </c>
      <c r="B72" s="3" t="s">
        <v>25</v>
      </c>
      <c r="C72" s="4">
        <v>45194</v>
      </c>
      <c r="D72" s="5" t="s">
        <v>5</v>
      </c>
      <c r="E72" s="6">
        <v>9</v>
      </c>
      <c r="F72" s="3">
        <v>16</v>
      </c>
      <c r="G72" s="7">
        <f t="shared" si="6"/>
        <v>1.7777777777777777</v>
      </c>
      <c r="H72" s="8">
        <v>54400</v>
      </c>
      <c r="I72" s="8">
        <f t="shared" si="7"/>
        <v>6044.4444444444443</v>
      </c>
      <c r="J72" s="9">
        <v>336</v>
      </c>
      <c r="K72" s="3">
        <v>23</v>
      </c>
      <c r="L72" s="3">
        <v>38</v>
      </c>
      <c r="M72" s="3">
        <v>35</v>
      </c>
      <c r="N72" s="3">
        <v>10</v>
      </c>
      <c r="O72" s="9">
        <f t="shared" si="8"/>
        <v>106</v>
      </c>
      <c r="P72" s="7">
        <f t="shared" si="9"/>
        <v>0.73962264150943391</v>
      </c>
      <c r="Q72" s="3">
        <f t="shared" si="4"/>
        <v>61</v>
      </c>
      <c r="R72" s="3">
        <f t="shared" si="5"/>
        <v>45</v>
      </c>
    </row>
    <row r="73" spans="1:18" ht="13.2" x14ac:dyDescent="0.25">
      <c r="A73" s="3" t="s">
        <v>31</v>
      </c>
      <c r="B73" s="3" t="s">
        <v>26</v>
      </c>
      <c r="C73" s="4">
        <v>45194</v>
      </c>
      <c r="D73" s="5" t="s">
        <v>2</v>
      </c>
      <c r="E73" s="6">
        <v>8</v>
      </c>
      <c r="F73" s="3">
        <v>20</v>
      </c>
      <c r="G73" s="7">
        <f t="shared" si="6"/>
        <v>2.5</v>
      </c>
      <c r="H73" s="8">
        <v>68000</v>
      </c>
      <c r="I73" s="8">
        <f t="shared" si="7"/>
        <v>8500</v>
      </c>
      <c r="J73" s="9">
        <v>333</v>
      </c>
      <c r="K73" s="3">
        <v>20</v>
      </c>
      <c r="L73" s="3">
        <v>31</v>
      </c>
      <c r="M73" s="3">
        <v>34</v>
      </c>
      <c r="N73" s="3">
        <v>13</v>
      </c>
      <c r="O73" s="9">
        <f t="shared" si="8"/>
        <v>98</v>
      </c>
      <c r="P73" s="7">
        <f t="shared" si="9"/>
        <v>0.71836734693877546</v>
      </c>
      <c r="Q73" s="3">
        <f t="shared" si="4"/>
        <v>51</v>
      </c>
      <c r="R73" s="3">
        <f t="shared" si="5"/>
        <v>47</v>
      </c>
    </row>
    <row r="74" spans="1:18" ht="13.2" x14ac:dyDescent="0.25">
      <c r="A74" s="3" t="s">
        <v>31</v>
      </c>
      <c r="B74" s="3" t="s">
        <v>25</v>
      </c>
      <c r="C74" s="4">
        <v>45195</v>
      </c>
      <c r="D74" s="5" t="s">
        <v>0</v>
      </c>
      <c r="E74" s="6">
        <v>7</v>
      </c>
      <c r="F74" s="3">
        <v>22</v>
      </c>
      <c r="G74" s="7">
        <f t="shared" si="6"/>
        <v>3.1428571428571428</v>
      </c>
      <c r="H74" s="8">
        <v>74800</v>
      </c>
      <c r="I74" s="8">
        <f t="shared" si="7"/>
        <v>10685.714285714286</v>
      </c>
      <c r="J74" s="9">
        <v>389</v>
      </c>
      <c r="K74" s="3">
        <v>20</v>
      </c>
      <c r="L74" s="3">
        <v>39</v>
      </c>
      <c r="M74" s="3">
        <v>39</v>
      </c>
      <c r="N74" s="3">
        <v>13</v>
      </c>
      <c r="O74" s="9">
        <f t="shared" si="8"/>
        <v>111</v>
      </c>
      <c r="P74" s="7">
        <f t="shared" si="9"/>
        <v>0.7189189189189189</v>
      </c>
      <c r="Q74" s="3">
        <f t="shared" si="4"/>
        <v>59</v>
      </c>
      <c r="R74" s="3">
        <f t="shared" si="5"/>
        <v>52</v>
      </c>
    </row>
    <row r="75" spans="1:18" ht="13.2" x14ac:dyDescent="0.25">
      <c r="A75" s="3" t="s">
        <v>31</v>
      </c>
      <c r="B75" s="3" t="s">
        <v>26</v>
      </c>
      <c r="C75" s="4">
        <v>45195</v>
      </c>
      <c r="D75" s="5" t="s">
        <v>3</v>
      </c>
      <c r="E75" s="6">
        <v>9</v>
      </c>
      <c r="F75" s="3">
        <v>23</v>
      </c>
      <c r="G75" s="7">
        <f t="shared" si="6"/>
        <v>2.5555555555555554</v>
      </c>
      <c r="H75" s="8">
        <v>78200</v>
      </c>
      <c r="I75" s="8">
        <f t="shared" si="7"/>
        <v>8688.8888888888887</v>
      </c>
      <c r="J75" s="9">
        <v>334</v>
      </c>
      <c r="K75" s="3">
        <v>30</v>
      </c>
      <c r="L75" s="3">
        <v>38</v>
      </c>
      <c r="M75" s="3">
        <v>30</v>
      </c>
      <c r="N75" s="3">
        <v>11</v>
      </c>
      <c r="O75" s="9">
        <f t="shared" si="8"/>
        <v>109</v>
      </c>
      <c r="P75" s="7">
        <f t="shared" si="9"/>
        <v>0.75963302752293582</v>
      </c>
      <c r="Q75" s="3">
        <f t="shared" si="4"/>
        <v>68</v>
      </c>
      <c r="R75" s="3">
        <f t="shared" si="5"/>
        <v>41</v>
      </c>
    </row>
    <row r="76" spans="1:18" ht="13.2" x14ac:dyDescent="0.25">
      <c r="A76" s="3" t="s">
        <v>31</v>
      </c>
      <c r="B76" s="3" t="s">
        <v>25</v>
      </c>
      <c r="C76" s="4">
        <v>45196</v>
      </c>
      <c r="D76" s="5" t="s">
        <v>4</v>
      </c>
      <c r="E76" s="6">
        <v>6</v>
      </c>
      <c r="F76" s="3">
        <v>20</v>
      </c>
      <c r="G76" s="7">
        <f t="shared" si="6"/>
        <v>3.3333333333333335</v>
      </c>
      <c r="H76" s="8">
        <v>68000</v>
      </c>
      <c r="I76" s="8">
        <f t="shared" si="7"/>
        <v>11333.333333333334</v>
      </c>
      <c r="J76" s="9">
        <v>307</v>
      </c>
      <c r="K76" s="3">
        <v>28</v>
      </c>
      <c r="L76" s="3">
        <v>33</v>
      </c>
      <c r="M76" s="3">
        <v>32</v>
      </c>
      <c r="N76" s="3">
        <v>12</v>
      </c>
      <c r="O76" s="9">
        <f t="shared" si="8"/>
        <v>105</v>
      </c>
      <c r="P76" s="7">
        <f t="shared" si="9"/>
        <v>0.7466666666666667</v>
      </c>
      <c r="Q76" s="3">
        <f t="shared" si="4"/>
        <v>61</v>
      </c>
      <c r="R76" s="3">
        <f t="shared" si="5"/>
        <v>44</v>
      </c>
    </row>
    <row r="77" spans="1:18" ht="13.2" x14ac:dyDescent="0.25">
      <c r="A77" s="3" t="s">
        <v>31</v>
      </c>
      <c r="B77" s="3" t="s">
        <v>26</v>
      </c>
      <c r="C77" s="4">
        <v>45197</v>
      </c>
      <c r="D77" s="5" t="s">
        <v>1</v>
      </c>
      <c r="E77" s="6">
        <v>6</v>
      </c>
      <c r="F77" s="3">
        <v>19</v>
      </c>
      <c r="G77" s="7">
        <f t="shared" si="6"/>
        <v>3.1666666666666665</v>
      </c>
      <c r="H77" s="8">
        <v>64600</v>
      </c>
      <c r="I77" s="8">
        <f t="shared" si="7"/>
        <v>10766.666666666666</v>
      </c>
      <c r="J77" s="9">
        <v>378</v>
      </c>
      <c r="K77" s="3">
        <v>24</v>
      </c>
      <c r="L77" s="3">
        <v>35</v>
      </c>
      <c r="M77" s="3">
        <v>37</v>
      </c>
      <c r="N77" s="3">
        <v>13</v>
      </c>
      <c r="O77" s="9">
        <f t="shared" si="8"/>
        <v>109</v>
      </c>
      <c r="P77" s="7">
        <f t="shared" si="9"/>
        <v>0.72844036697247705</v>
      </c>
      <c r="Q77" s="3">
        <f t="shared" si="4"/>
        <v>59</v>
      </c>
      <c r="R77" s="3">
        <f t="shared" si="5"/>
        <v>50</v>
      </c>
    </row>
    <row r="78" spans="1:18" ht="13.2" x14ac:dyDescent="0.25">
      <c r="A78" s="3" t="s">
        <v>31</v>
      </c>
      <c r="B78" s="3" t="s">
        <v>25</v>
      </c>
      <c r="C78" s="4">
        <v>45197</v>
      </c>
      <c r="D78" s="5" t="s">
        <v>5</v>
      </c>
      <c r="E78" s="6">
        <v>7</v>
      </c>
      <c r="F78" s="3">
        <v>15</v>
      </c>
      <c r="G78" s="7">
        <f t="shared" si="6"/>
        <v>2.1428571428571428</v>
      </c>
      <c r="H78" s="8">
        <v>51000</v>
      </c>
      <c r="I78" s="8">
        <f t="shared" si="7"/>
        <v>7285.7142857142853</v>
      </c>
      <c r="J78" s="9">
        <v>357</v>
      </c>
      <c r="K78" s="3">
        <v>27</v>
      </c>
      <c r="L78" s="3">
        <v>30</v>
      </c>
      <c r="M78" s="3">
        <v>31</v>
      </c>
      <c r="N78" s="3">
        <v>12</v>
      </c>
      <c r="O78" s="9">
        <f t="shared" si="8"/>
        <v>100</v>
      </c>
      <c r="P78" s="7">
        <f t="shared" si="9"/>
        <v>0.74399999999999999</v>
      </c>
      <c r="Q78" s="3">
        <f t="shared" si="4"/>
        <v>57</v>
      </c>
      <c r="R78" s="3">
        <f t="shared" si="5"/>
        <v>43</v>
      </c>
    </row>
    <row r="79" spans="1:18" ht="13.2" x14ac:dyDescent="0.25">
      <c r="A79" s="3" t="s">
        <v>31</v>
      </c>
      <c r="B79" s="3" t="s">
        <v>26</v>
      </c>
      <c r="C79" s="4">
        <v>45197</v>
      </c>
      <c r="D79" s="5" t="s">
        <v>2</v>
      </c>
      <c r="E79" s="6">
        <v>9</v>
      </c>
      <c r="F79" s="3">
        <v>18</v>
      </c>
      <c r="G79" s="7">
        <f t="shared" si="6"/>
        <v>2</v>
      </c>
      <c r="H79" s="8">
        <v>61200</v>
      </c>
      <c r="I79" s="8">
        <f t="shared" si="7"/>
        <v>6800</v>
      </c>
      <c r="J79" s="9">
        <v>370</v>
      </c>
      <c r="K79" s="3">
        <v>22</v>
      </c>
      <c r="L79" s="3">
        <v>33</v>
      </c>
      <c r="M79" s="3">
        <v>32</v>
      </c>
      <c r="N79" s="3">
        <v>15</v>
      </c>
      <c r="O79" s="9">
        <f t="shared" si="8"/>
        <v>102</v>
      </c>
      <c r="P79" s="7">
        <f t="shared" si="9"/>
        <v>0.72156862745098038</v>
      </c>
      <c r="Q79" s="3">
        <f t="shared" si="4"/>
        <v>55</v>
      </c>
      <c r="R79" s="3">
        <f t="shared" si="5"/>
        <v>47</v>
      </c>
    </row>
    <row r="80" spans="1:18" ht="13.2" x14ac:dyDescent="0.25">
      <c r="A80" s="3" t="s">
        <v>32</v>
      </c>
      <c r="B80" s="3" t="s">
        <v>25</v>
      </c>
      <c r="C80" s="4">
        <v>45198</v>
      </c>
      <c r="D80" s="5" t="s">
        <v>0</v>
      </c>
      <c r="E80" s="6">
        <v>9</v>
      </c>
      <c r="F80" s="3">
        <v>21</v>
      </c>
      <c r="G80" s="7">
        <f t="shared" si="6"/>
        <v>2.3333333333333335</v>
      </c>
      <c r="H80" s="8">
        <v>71400</v>
      </c>
      <c r="I80" s="8">
        <f t="shared" si="7"/>
        <v>7933.333333333333</v>
      </c>
      <c r="J80" s="9">
        <v>322</v>
      </c>
      <c r="K80" s="3">
        <v>24</v>
      </c>
      <c r="L80" s="3">
        <v>30</v>
      </c>
      <c r="M80" s="3">
        <v>32</v>
      </c>
      <c r="N80" s="3">
        <v>14</v>
      </c>
      <c r="O80" s="9">
        <f t="shared" si="8"/>
        <v>100</v>
      </c>
      <c r="P80" s="7">
        <f t="shared" si="9"/>
        <v>0.72799999999999998</v>
      </c>
      <c r="Q80" s="3">
        <f t="shared" si="4"/>
        <v>54</v>
      </c>
      <c r="R80" s="3">
        <f t="shared" si="5"/>
        <v>46</v>
      </c>
    </row>
    <row r="81" spans="1:18" ht="13.2" x14ac:dyDescent="0.25">
      <c r="A81" s="3" t="s">
        <v>32</v>
      </c>
      <c r="B81" s="3" t="s">
        <v>26</v>
      </c>
      <c r="C81" s="4">
        <v>45198</v>
      </c>
      <c r="D81" s="5" t="s">
        <v>3</v>
      </c>
      <c r="E81" s="6">
        <v>9</v>
      </c>
      <c r="F81" s="3">
        <v>22</v>
      </c>
      <c r="G81" s="7">
        <f t="shared" si="6"/>
        <v>2.4444444444444446</v>
      </c>
      <c r="H81" s="8">
        <v>74800</v>
      </c>
      <c r="I81" s="8">
        <f t="shared" si="7"/>
        <v>8311.1111111111113</v>
      </c>
      <c r="J81" s="9">
        <v>326</v>
      </c>
      <c r="K81" s="3">
        <v>29</v>
      </c>
      <c r="L81" s="3">
        <v>33</v>
      </c>
      <c r="M81" s="3">
        <v>38</v>
      </c>
      <c r="N81" s="3">
        <v>13</v>
      </c>
      <c r="O81" s="9">
        <f t="shared" si="8"/>
        <v>113</v>
      </c>
      <c r="P81" s="7">
        <f t="shared" si="9"/>
        <v>0.73805309734513269</v>
      </c>
      <c r="Q81" s="3">
        <f t="shared" si="4"/>
        <v>62</v>
      </c>
      <c r="R81" s="3">
        <f t="shared" si="5"/>
        <v>51</v>
      </c>
    </row>
    <row r="82" spans="1:18" ht="13.2" x14ac:dyDescent="0.25">
      <c r="A82" s="3" t="s">
        <v>32</v>
      </c>
      <c r="B82" s="3" t="s">
        <v>25</v>
      </c>
      <c r="C82" s="4">
        <v>45199</v>
      </c>
      <c r="D82" s="5" t="s">
        <v>4</v>
      </c>
      <c r="E82" s="6">
        <v>9</v>
      </c>
      <c r="F82" s="3">
        <v>21</v>
      </c>
      <c r="G82" s="7">
        <f t="shared" si="6"/>
        <v>2.3333333333333335</v>
      </c>
      <c r="H82" s="8">
        <v>71400</v>
      </c>
      <c r="I82" s="8">
        <f t="shared" si="7"/>
        <v>7933.333333333333</v>
      </c>
      <c r="J82" s="9">
        <v>339</v>
      </c>
      <c r="K82" s="3">
        <v>25</v>
      </c>
      <c r="L82" s="3">
        <v>32</v>
      </c>
      <c r="M82" s="3">
        <v>31</v>
      </c>
      <c r="N82" s="3">
        <v>14</v>
      </c>
      <c r="O82" s="9">
        <f t="shared" si="8"/>
        <v>102</v>
      </c>
      <c r="P82" s="7">
        <f t="shared" si="9"/>
        <v>0.73333333333333328</v>
      </c>
      <c r="Q82" s="3">
        <f t="shared" si="4"/>
        <v>57</v>
      </c>
      <c r="R82" s="3">
        <f t="shared" si="5"/>
        <v>45</v>
      </c>
    </row>
    <row r="83" spans="1:18" ht="13.2" x14ac:dyDescent="0.25">
      <c r="A83" s="3" t="s">
        <v>32</v>
      </c>
      <c r="B83" s="3" t="s">
        <v>26</v>
      </c>
      <c r="C83" s="4">
        <v>45201</v>
      </c>
      <c r="D83" s="5" t="s">
        <v>1</v>
      </c>
      <c r="E83" s="6">
        <v>7</v>
      </c>
      <c r="F83" s="3">
        <v>20</v>
      </c>
      <c r="G83" s="7">
        <f t="shared" si="6"/>
        <v>2.8571428571428572</v>
      </c>
      <c r="H83" s="8">
        <v>68000</v>
      </c>
      <c r="I83" s="8">
        <f t="shared" si="7"/>
        <v>9714.2857142857138</v>
      </c>
      <c r="J83" s="9">
        <v>390</v>
      </c>
      <c r="K83" s="3">
        <v>21</v>
      </c>
      <c r="L83" s="3">
        <v>33</v>
      </c>
      <c r="M83" s="3">
        <v>35</v>
      </c>
      <c r="N83" s="3">
        <v>13</v>
      </c>
      <c r="O83" s="9">
        <f t="shared" si="8"/>
        <v>102</v>
      </c>
      <c r="P83" s="7">
        <f t="shared" si="9"/>
        <v>0.72156862745098038</v>
      </c>
      <c r="Q83" s="3">
        <f t="shared" si="4"/>
        <v>54</v>
      </c>
      <c r="R83" s="3">
        <f t="shared" si="5"/>
        <v>48</v>
      </c>
    </row>
    <row r="84" spans="1:18" ht="13.2" x14ac:dyDescent="0.25">
      <c r="A84" s="3" t="s">
        <v>32</v>
      </c>
      <c r="B84" s="3" t="s">
        <v>25</v>
      </c>
      <c r="C84" s="4">
        <v>45201</v>
      </c>
      <c r="D84" s="5" t="s">
        <v>5</v>
      </c>
      <c r="E84" s="6">
        <v>8</v>
      </c>
      <c r="F84" s="3">
        <v>19</v>
      </c>
      <c r="G84" s="7">
        <f t="shared" si="6"/>
        <v>2.375</v>
      </c>
      <c r="H84" s="8">
        <v>64600</v>
      </c>
      <c r="I84" s="8">
        <f t="shared" si="7"/>
        <v>8075</v>
      </c>
      <c r="J84" s="9">
        <v>330</v>
      </c>
      <c r="K84" s="3">
        <v>30</v>
      </c>
      <c r="L84" s="3">
        <v>33</v>
      </c>
      <c r="M84" s="3">
        <v>40</v>
      </c>
      <c r="N84" s="3">
        <v>13</v>
      </c>
      <c r="O84" s="9">
        <f t="shared" si="8"/>
        <v>116</v>
      </c>
      <c r="P84" s="7">
        <f t="shared" si="9"/>
        <v>0.73793103448275865</v>
      </c>
      <c r="Q84" s="3">
        <f t="shared" si="4"/>
        <v>63</v>
      </c>
      <c r="R84" s="3">
        <f t="shared" si="5"/>
        <v>53</v>
      </c>
    </row>
    <row r="85" spans="1:18" ht="13.2" x14ac:dyDescent="0.25">
      <c r="A85" s="3" t="s">
        <v>32</v>
      </c>
      <c r="B85" s="3" t="s">
        <v>26</v>
      </c>
      <c r="C85" s="4">
        <v>45202</v>
      </c>
      <c r="D85" s="5" t="s">
        <v>2</v>
      </c>
      <c r="E85" s="6">
        <v>9</v>
      </c>
      <c r="F85" s="3">
        <v>15</v>
      </c>
      <c r="G85" s="7">
        <f t="shared" si="6"/>
        <v>1.6666666666666667</v>
      </c>
      <c r="H85" s="8">
        <v>51000</v>
      </c>
      <c r="I85" s="8">
        <f t="shared" si="7"/>
        <v>5666.666666666667</v>
      </c>
      <c r="J85" s="9">
        <v>392</v>
      </c>
      <c r="K85" s="3">
        <v>40</v>
      </c>
      <c r="L85" s="3">
        <v>30</v>
      </c>
      <c r="M85" s="3">
        <v>30</v>
      </c>
      <c r="N85" s="3">
        <v>12</v>
      </c>
      <c r="O85" s="9">
        <f t="shared" si="8"/>
        <v>112</v>
      </c>
      <c r="P85" s="7">
        <f t="shared" si="9"/>
        <v>0.77500000000000002</v>
      </c>
      <c r="Q85" s="3">
        <f t="shared" ref="Q85:Q121" si="10">K85+L85</f>
        <v>70</v>
      </c>
      <c r="R85" s="3">
        <f t="shared" ref="R85:R121" si="11">M85+N85</f>
        <v>42</v>
      </c>
    </row>
    <row r="86" spans="1:18" ht="13.2" x14ac:dyDescent="0.25">
      <c r="A86" s="3" t="s">
        <v>32</v>
      </c>
      <c r="B86" s="3" t="s">
        <v>25</v>
      </c>
      <c r="C86" s="4">
        <v>45203</v>
      </c>
      <c r="D86" s="5" t="s">
        <v>0</v>
      </c>
      <c r="E86" s="6">
        <v>8</v>
      </c>
      <c r="F86" s="3">
        <v>22</v>
      </c>
      <c r="G86" s="7">
        <f t="shared" si="6"/>
        <v>2.75</v>
      </c>
      <c r="H86" s="8">
        <v>74800</v>
      </c>
      <c r="I86" s="8">
        <f t="shared" si="7"/>
        <v>9350</v>
      </c>
      <c r="J86" s="9">
        <v>396</v>
      </c>
      <c r="K86" s="3">
        <v>27</v>
      </c>
      <c r="L86" s="3">
        <v>30</v>
      </c>
      <c r="M86" s="3">
        <v>38</v>
      </c>
      <c r="N86" s="3">
        <v>15</v>
      </c>
      <c r="O86" s="9">
        <f t="shared" si="8"/>
        <v>110</v>
      </c>
      <c r="P86" s="7">
        <f t="shared" si="9"/>
        <v>0.72545454545454546</v>
      </c>
      <c r="Q86" s="3">
        <f t="shared" si="10"/>
        <v>57</v>
      </c>
      <c r="R86" s="3">
        <f t="shared" si="11"/>
        <v>53</v>
      </c>
    </row>
    <row r="87" spans="1:18" ht="13.2" x14ac:dyDescent="0.25">
      <c r="A87" s="3" t="s">
        <v>32</v>
      </c>
      <c r="B87" s="3" t="s">
        <v>26</v>
      </c>
      <c r="C87" s="4">
        <v>45203</v>
      </c>
      <c r="D87" s="5" t="s">
        <v>3</v>
      </c>
      <c r="E87" s="6">
        <v>9</v>
      </c>
      <c r="F87" s="3">
        <v>20</v>
      </c>
      <c r="G87" s="7">
        <f t="shared" si="6"/>
        <v>2.2222222222222223</v>
      </c>
      <c r="H87" s="8">
        <v>68000</v>
      </c>
      <c r="I87" s="8">
        <f t="shared" si="7"/>
        <v>7555.5555555555557</v>
      </c>
      <c r="J87" s="9">
        <v>372</v>
      </c>
      <c r="K87" s="3">
        <v>21</v>
      </c>
      <c r="L87" s="3">
        <v>39</v>
      </c>
      <c r="M87" s="3">
        <v>35</v>
      </c>
      <c r="N87" s="3">
        <v>13</v>
      </c>
      <c r="O87" s="9">
        <f t="shared" si="8"/>
        <v>108</v>
      </c>
      <c r="P87" s="7">
        <f t="shared" si="9"/>
        <v>0.72592592592592597</v>
      </c>
      <c r="Q87" s="3">
        <f t="shared" si="10"/>
        <v>60</v>
      </c>
      <c r="R87" s="3">
        <f t="shared" si="11"/>
        <v>48</v>
      </c>
    </row>
    <row r="88" spans="1:18" ht="13.2" x14ac:dyDescent="0.25">
      <c r="A88" s="3" t="s">
        <v>32</v>
      </c>
      <c r="B88" s="3" t="s">
        <v>25</v>
      </c>
      <c r="C88" s="4">
        <v>45204</v>
      </c>
      <c r="D88" s="5" t="s">
        <v>4</v>
      </c>
      <c r="E88" s="6">
        <v>8</v>
      </c>
      <c r="F88" s="3">
        <v>16</v>
      </c>
      <c r="G88" s="7">
        <f t="shared" si="6"/>
        <v>2</v>
      </c>
      <c r="H88" s="8">
        <v>54400</v>
      </c>
      <c r="I88" s="8">
        <f t="shared" si="7"/>
        <v>6800</v>
      </c>
      <c r="J88" s="9">
        <v>352</v>
      </c>
      <c r="K88" s="3">
        <v>23</v>
      </c>
      <c r="L88" s="3">
        <v>39</v>
      </c>
      <c r="M88" s="3">
        <v>32</v>
      </c>
      <c r="N88" s="3">
        <v>14</v>
      </c>
      <c r="O88" s="9">
        <f t="shared" si="8"/>
        <v>108</v>
      </c>
      <c r="P88" s="7">
        <f t="shared" si="9"/>
        <v>0.73148148148148151</v>
      </c>
      <c r="Q88" s="3">
        <f t="shared" si="10"/>
        <v>62</v>
      </c>
      <c r="R88" s="3">
        <f t="shared" si="11"/>
        <v>46</v>
      </c>
    </row>
    <row r="89" spans="1:18" ht="13.2" x14ac:dyDescent="0.25">
      <c r="A89" s="3" t="s">
        <v>32</v>
      </c>
      <c r="B89" s="3" t="s">
        <v>26</v>
      </c>
      <c r="C89" s="4">
        <v>45204</v>
      </c>
      <c r="D89" s="5" t="s">
        <v>1</v>
      </c>
      <c r="E89" s="6">
        <v>7</v>
      </c>
      <c r="F89" s="3">
        <v>25</v>
      </c>
      <c r="G89" s="7">
        <f t="shared" si="6"/>
        <v>3.5714285714285716</v>
      </c>
      <c r="H89" s="8">
        <v>85000</v>
      </c>
      <c r="I89" s="8">
        <f t="shared" si="7"/>
        <v>12142.857142857143</v>
      </c>
      <c r="J89" s="9">
        <v>373</v>
      </c>
      <c r="K89" s="3">
        <v>28</v>
      </c>
      <c r="L89" s="3">
        <v>31</v>
      </c>
      <c r="M89" s="3">
        <v>40</v>
      </c>
      <c r="N89" s="3">
        <v>10</v>
      </c>
      <c r="O89" s="9">
        <f t="shared" si="8"/>
        <v>109</v>
      </c>
      <c r="P89" s="7">
        <f t="shared" si="9"/>
        <v>0.74128440366972481</v>
      </c>
      <c r="Q89" s="3">
        <f t="shared" si="10"/>
        <v>59</v>
      </c>
      <c r="R89" s="3">
        <f t="shared" si="11"/>
        <v>50</v>
      </c>
    </row>
    <row r="90" spans="1:18" ht="13.2" x14ac:dyDescent="0.25">
      <c r="A90" s="3" t="s">
        <v>33</v>
      </c>
      <c r="B90" s="3" t="s">
        <v>25</v>
      </c>
      <c r="C90" s="4">
        <v>45205</v>
      </c>
      <c r="D90" s="5" t="s">
        <v>5</v>
      </c>
      <c r="E90" s="6">
        <v>8</v>
      </c>
      <c r="F90" s="3">
        <v>16</v>
      </c>
      <c r="G90" s="7">
        <f t="shared" si="6"/>
        <v>2</v>
      </c>
      <c r="H90" s="8">
        <v>54400</v>
      </c>
      <c r="I90" s="8">
        <f t="shared" si="7"/>
        <v>6800</v>
      </c>
      <c r="J90" s="9">
        <v>394</v>
      </c>
      <c r="K90" s="3">
        <v>27</v>
      </c>
      <c r="L90" s="3">
        <v>37</v>
      </c>
      <c r="M90" s="3">
        <v>37</v>
      </c>
      <c r="N90" s="3">
        <v>10</v>
      </c>
      <c r="O90" s="9">
        <f t="shared" si="8"/>
        <v>111</v>
      </c>
      <c r="P90" s="7">
        <f t="shared" si="9"/>
        <v>0.74594594594594599</v>
      </c>
      <c r="Q90" s="3">
        <f t="shared" si="10"/>
        <v>64</v>
      </c>
      <c r="R90" s="3">
        <f t="shared" si="11"/>
        <v>47</v>
      </c>
    </row>
    <row r="91" spans="1:18" ht="13.2" x14ac:dyDescent="0.25">
      <c r="A91" s="3" t="s">
        <v>33</v>
      </c>
      <c r="B91" s="3" t="s">
        <v>26</v>
      </c>
      <c r="C91" s="4">
        <v>45206</v>
      </c>
      <c r="D91" s="5" t="s">
        <v>2</v>
      </c>
      <c r="E91" s="6">
        <v>7</v>
      </c>
      <c r="F91" s="3">
        <v>24</v>
      </c>
      <c r="G91" s="7">
        <f t="shared" si="6"/>
        <v>3.4285714285714284</v>
      </c>
      <c r="H91" s="8">
        <v>81600</v>
      </c>
      <c r="I91" s="8">
        <f t="shared" si="7"/>
        <v>11657.142857142857</v>
      </c>
      <c r="J91" s="9">
        <v>303</v>
      </c>
      <c r="K91" s="3">
        <v>29</v>
      </c>
      <c r="L91" s="3">
        <v>38</v>
      </c>
      <c r="M91" s="3">
        <v>32</v>
      </c>
      <c r="N91" s="3">
        <v>13</v>
      </c>
      <c r="O91" s="9">
        <f t="shared" si="8"/>
        <v>112</v>
      </c>
      <c r="P91" s="7">
        <f t="shared" si="9"/>
        <v>0.74821428571428572</v>
      </c>
      <c r="Q91" s="3">
        <f t="shared" si="10"/>
        <v>67</v>
      </c>
      <c r="R91" s="3">
        <f t="shared" si="11"/>
        <v>45</v>
      </c>
    </row>
    <row r="92" spans="1:18" ht="13.2" x14ac:dyDescent="0.25">
      <c r="A92" s="3" t="s">
        <v>33</v>
      </c>
      <c r="B92" s="3" t="s">
        <v>25</v>
      </c>
      <c r="C92" s="4">
        <v>45206</v>
      </c>
      <c r="D92" s="5" t="s">
        <v>0</v>
      </c>
      <c r="E92" s="6">
        <v>8</v>
      </c>
      <c r="F92" s="3">
        <v>23</v>
      </c>
      <c r="G92" s="7">
        <f t="shared" si="6"/>
        <v>2.875</v>
      </c>
      <c r="H92" s="8">
        <v>78200</v>
      </c>
      <c r="I92" s="8">
        <f t="shared" si="7"/>
        <v>9775</v>
      </c>
      <c r="J92" s="9">
        <v>382</v>
      </c>
      <c r="K92" s="3">
        <v>23</v>
      </c>
      <c r="L92" s="3">
        <v>33</v>
      </c>
      <c r="M92" s="3">
        <v>33</v>
      </c>
      <c r="N92" s="3">
        <v>11</v>
      </c>
      <c r="O92" s="9">
        <f t="shared" si="8"/>
        <v>100</v>
      </c>
      <c r="P92" s="7">
        <f t="shared" si="9"/>
        <v>0.73599999999999999</v>
      </c>
      <c r="Q92" s="3">
        <f t="shared" si="10"/>
        <v>56</v>
      </c>
      <c r="R92" s="3">
        <f t="shared" si="11"/>
        <v>44</v>
      </c>
    </row>
    <row r="93" spans="1:18" ht="13.2" x14ac:dyDescent="0.25">
      <c r="A93" s="3" t="s">
        <v>33</v>
      </c>
      <c r="B93" s="3" t="s">
        <v>26</v>
      </c>
      <c r="C93" s="4">
        <v>45206</v>
      </c>
      <c r="D93" s="5" t="s">
        <v>3</v>
      </c>
      <c r="E93" s="6">
        <v>8</v>
      </c>
      <c r="F93" s="3">
        <v>21</v>
      </c>
      <c r="G93" s="7">
        <f t="shared" si="6"/>
        <v>2.625</v>
      </c>
      <c r="H93" s="8">
        <v>71400</v>
      </c>
      <c r="I93" s="8">
        <f t="shared" si="7"/>
        <v>8925</v>
      </c>
      <c r="J93" s="9">
        <v>316</v>
      </c>
      <c r="K93" s="3">
        <v>28</v>
      </c>
      <c r="L93" s="3">
        <v>36</v>
      </c>
      <c r="M93" s="3">
        <v>35</v>
      </c>
      <c r="N93" s="3">
        <v>11</v>
      </c>
      <c r="O93" s="9">
        <f t="shared" si="8"/>
        <v>110</v>
      </c>
      <c r="P93" s="7">
        <f t="shared" si="9"/>
        <v>0.74727272727272731</v>
      </c>
      <c r="Q93" s="3">
        <f t="shared" si="10"/>
        <v>64</v>
      </c>
      <c r="R93" s="3">
        <f t="shared" si="11"/>
        <v>46</v>
      </c>
    </row>
    <row r="94" spans="1:18" ht="13.2" x14ac:dyDescent="0.25">
      <c r="A94" s="3" t="s">
        <v>33</v>
      </c>
      <c r="B94" s="3" t="s">
        <v>25</v>
      </c>
      <c r="C94" s="4">
        <v>45207</v>
      </c>
      <c r="D94" s="5" t="s">
        <v>4</v>
      </c>
      <c r="E94" s="6">
        <v>7</v>
      </c>
      <c r="F94" s="3">
        <v>17</v>
      </c>
      <c r="G94" s="7">
        <f t="shared" si="6"/>
        <v>2.4285714285714284</v>
      </c>
      <c r="H94" s="8">
        <v>57800</v>
      </c>
      <c r="I94" s="8">
        <f t="shared" si="7"/>
        <v>8257.1428571428569</v>
      </c>
      <c r="J94" s="9">
        <v>334</v>
      </c>
      <c r="K94" s="3">
        <v>20</v>
      </c>
      <c r="L94" s="3">
        <v>20</v>
      </c>
      <c r="M94" s="3">
        <v>30</v>
      </c>
      <c r="N94" s="3">
        <v>11</v>
      </c>
      <c r="O94" s="9">
        <f t="shared" si="8"/>
        <v>81</v>
      </c>
      <c r="P94" s="7">
        <f t="shared" si="9"/>
        <v>0.72098765432098766</v>
      </c>
      <c r="Q94" s="3">
        <f t="shared" si="10"/>
        <v>40</v>
      </c>
      <c r="R94" s="3">
        <f t="shared" si="11"/>
        <v>41</v>
      </c>
    </row>
    <row r="95" spans="1:18" ht="13.2" x14ac:dyDescent="0.25">
      <c r="A95" s="3" t="s">
        <v>33</v>
      </c>
      <c r="B95" s="3" t="s">
        <v>26</v>
      </c>
      <c r="C95" s="4">
        <v>45207</v>
      </c>
      <c r="D95" s="5" t="s">
        <v>1</v>
      </c>
      <c r="E95" s="6">
        <v>9</v>
      </c>
      <c r="F95" s="3">
        <v>21</v>
      </c>
      <c r="G95" s="7">
        <f t="shared" si="6"/>
        <v>2.3333333333333335</v>
      </c>
      <c r="H95" s="8">
        <v>71400</v>
      </c>
      <c r="I95" s="8">
        <f t="shared" si="7"/>
        <v>7933.333333333333</v>
      </c>
      <c r="J95" s="9">
        <v>391</v>
      </c>
      <c r="K95" s="3">
        <v>27</v>
      </c>
      <c r="L95" s="3">
        <v>31</v>
      </c>
      <c r="M95" s="3">
        <v>35</v>
      </c>
      <c r="N95" s="3">
        <v>13</v>
      </c>
      <c r="O95" s="9">
        <f t="shared" si="8"/>
        <v>106</v>
      </c>
      <c r="P95" s="7">
        <f t="shared" si="9"/>
        <v>0.73584905660377353</v>
      </c>
      <c r="Q95" s="3">
        <f t="shared" si="10"/>
        <v>58</v>
      </c>
      <c r="R95" s="3">
        <f t="shared" si="11"/>
        <v>48</v>
      </c>
    </row>
    <row r="96" spans="1:18" ht="13.2" x14ac:dyDescent="0.25">
      <c r="A96" s="3" t="s">
        <v>33</v>
      </c>
      <c r="B96" s="3" t="s">
        <v>25</v>
      </c>
      <c r="C96" s="4">
        <v>45208</v>
      </c>
      <c r="D96" s="5" t="s">
        <v>5</v>
      </c>
      <c r="E96" s="6">
        <v>8</v>
      </c>
      <c r="F96" s="3">
        <v>23</v>
      </c>
      <c r="G96" s="7">
        <f t="shared" si="6"/>
        <v>2.875</v>
      </c>
      <c r="H96" s="8">
        <v>78200</v>
      </c>
      <c r="I96" s="8">
        <f t="shared" si="7"/>
        <v>9775</v>
      </c>
      <c r="J96" s="9">
        <v>368</v>
      </c>
      <c r="K96" s="3">
        <v>26</v>
      </c>
      <c r="L96" s="3">
        <v>31</v>
      </c>
      <c r="M96" s="3">
        <v>38</v>
      </c>
      <c r="N96" s="3">
        <v>11</v>
      </c>
      <c r="O96" s="9">
        <f t="shared" si="8"/>
        <v>106</v>
      </c>
      <c r="P96" s="7">
        <f t="shared" si="9"/>
        <v>0.73584905660377353</v>
      </c>
      <c r="Q96" s="3">
        <f t="shared" si="10"/>
        <v>57</v>
      </c>
      <c r="R96" s="3">
        <f t="shared" si="11"/>
        <v>49</v>
      </c>
    </row>
    <row r="97" spans="1:18" ht="13.2" x14ac:dyDescent="0.25">
      <c r="A97" s="3" t="s">
        <v>33</v>
      </c>
      <c r="B97" s="3" t="s">
        <v>26</v>
      </c>
      <c r="C97" s="4">
        <v>45208</v>
      </c>
      <c r="D97" s="5" t="s">
        <v>2</v>
      </c>
      <c r="E97" s="6">
        <v>8</v>
      </c>
      <c r="F97" s="3">
        <v>16</v>
      </c>
      <c r="G97" s="7">
        <f t="shared" si="6"/>
        <v>2</v>
      </c>
      <c r="H97" s="8">
        <v>54400</v>
      </c>
      <c r="I97" s="8">
        <f t="shared" si="7"/>
        <v>6800</v>
      </c>
      <c r="J97" s="9">
        <v>376</v>
      </c>
      <c r="K97" s="3">
        <v>33</v>
      </c>
      <c r="L97" s="3">
        <v>36</v>
      </c>
      <c r="M97" s="3">
        <v>20</v>
      </c>
      <c r="N97" s="3">
        <v>11</v>
      </c>
      <c r="O97" s="9">
        <f t="shared" si="8"/>
        <v>100</v>
      </c>
      <c r="P97" s="7">
        <f t="shared" si="9"/>
        <v>0.78200000000000003</v>
      </c>
      <c r="Q97" s="3">
        <f t="shared" si="10"/>
        <v>69</v>
      </c>
      <c r="R97" s="3">
        <f t="shared" si="11"/>
        <v>31</v>
      </c>
    </row>
    <row r="98" spans="1:18" ht="13.2" x14ac:dyDescent="0.25">
      <c r="A98" s="3" t="s">
        <v>33</v>
      </c>
      <c r="B98" s="3" t="s">
        <v>25</v>
      </c>
      <c r="C98" s="4">
        <v>45209</v>
      </c>
      <c r="D98" s="5" t="s">
        <v>0</v>
      </c>
      <c r="E98" s="6">
        <v>7</v>
      </c>
      <c r="F98" s="3">
        <v>15</v>
      </c>
      <c r="G98" s="7">
        <f t="shared" si="6"/>
        <v>2.1428571428571428</v>
      </c>
      <c r="H98" s="8">
        <v>51000</v>
      </c>
      <c r="I98" s="8">
        <f t="shared" si="7"/>
        <v>7285.7142857142853</v>
      </c>
      <c r="J98" s="9">
        <v>359</v>
      </c>
      <c r="K98" s="3">
        <v>25</v>
      </c>
      <c r="L98" s="3">
        <v>37</v>
      </c>
      <c r="M98" s="3">
        <v>34</v>
      </c>
      <c r="N98" s="3">
        <v>10</v>
      </c>
      <c r="O98" s="9">
        <f t="shared" si="8"/>
        <v>106</v>
      </c>
      <c r="P98" s="7">
        <f t="shared" si="9"/>
        <v>0.74528301886792447</v>
      </c>
      <c r="Q98" s="3">
        <f t="shared" si="10"/>
        <v>62</v>
      </c>
      <c r="R98" s="3">
        <f t="shared" si="11"/>
        <v>44</v>
      </c>
    </row>
    <row r="99" spans="1:18" ht="13.2" x14ac:dyDescent="0.25">
      <c r="A99" s="3" t="s">
        <v>33</v>
      </c>
      <c r="B99" s="3" t="s">
        <v>26</v>
      </c>
      <c r="C99" s="4">
        <v>45209</v>
      </c>
      <c r="D99" s="5" t="s">
        <v>3</v>
      </c>
      <c r="E99" s="6">
        <v>6</v>
      </c>
      <c r="F99" s="3">
        <v>19</v>
      </c>
      <c r="G99" s="7">
        <f t="shared" si="6"/>
        <v>3.1666666666666665</v>
      </c>
      <c r="H99" s="8">
        <v>64600</v>
      </c>
      <c r="I99" s="8">
        <f t="shared" si="7"/>
        <v>10766.666666666666</v>
      </c>
      <c r="J99" s="9">
        <v>302</v>
      </c>
      <c r="K99" s="3">
        <v>28</v>
      </c>
      <c r="L99" s="3">
        <v>32</v>
      </c>
      <c r="M99" s="3">
        <v>34</v>
      </c>
      <c r="N99" s="3">
        <v>15</v>
      </c>
      <c r="O99" s="9">
        <f t="shared" si="8"/>
        <v>109</v>
      </c>
      <c r="P99" s="7">
        <f t="shared" si="9"/>
        <v>0.73394495412844041</v>
      </c>
      <c r="Q99" s="3">
        <f t="shared" si="10"/>
        <v>60</v>
      </c>
      <c r="R99" s="3">
        <f t="shared" si="11"/>
        <v>49</v>
      </c>
    </row>
    <row r="100" spans="1:18" ht="13.2" x14ac:dyDescent="0.25">
      <c r="A100" s="3" t="s">
        <v>34</v>
      </c>
      <c r="B100" s="3" t="s">
        <v>25</v>
      </c>
      <c r="C100" s="4">
        <v>45210</v>
      </c>
      <c r="D100" s="5" t="s">
        <v>4</v>
      </c>
      <c r="E100" s="6">
        <v>7</v>
      </c>
      <c r="F100" s="3">
        <v>17</v>
      </c>
      <c r="G100" s="7">
        <f t="shared" si="6"/>
        <v>2.4285714285714284</v>
      </c>
      <c r="H100" s="8">
        <v>57800</v>
      </c>
      <c r="I100" s="8">
        <f t="shared" si="7"/>
        <v>8257.1428571428569</v>
      </c>
      <c r="J100" s="9">
        <v>323</v>
      </c>
      <c r="K100" s="3">
        <v>27</v>
      </c>
      <c r="L100" s="3">
        <v>38</v>
      </c>
      <c r="M100" s="3">
        <v>36</v>
      </c>
      <c r="N100" s="3">
        <v>11</v>
      </c>
      <c r="O100" s="9">
        <f t="shared" si="8"/>
        <v>112</v>
      </c>
      <c r="P100" s="7">
        <f t="shared" si="9"/>
        <v>0.74464285714285716</v>
      </c>
      <c r="Q100" s="3">
        <f t="shared" si="10"/>
        <v>65</v>
      </c>
      <c r="R100" s="3">
        <f t="shared" si="11"/>
        <v>47</v>
      </c>
    </row>
    <row r="101" spans="1:18" ht="13.2" x14ac:dyDescent="0.25">
      <c r="A101" s="3" t="s">
        <v>34</v>
      </c>
      <c r="B101" s="3" t="s">
        <v>26</v>
      </c>
      <c r="C101" s="4">
        <v>45211</v>
      </c>
      <c r="D101" s="5" t="s">
        <v>1</v>
      </c>
      <c r="E101" s="6">
        <v>9</v>
      </c>
      <c r="F101" s="3">
        <v>16</v>
      </c>
      <c r="G101" s="7">
        <f t="shared" si="6"/>
        <v>1.7777777777777777</v>
      </c>
      <c r="H101" s="8">
        <v>54400</v>
      </c>
      <c r="I101" s="8">
        <f t="shared" si="7"/>
        <v>6044.4444444444443</v>
      </c>
      <c r="J101" s="9">
        <v>400</v>
      </c>
      <c r="K101" s="3">
        <v>30</v>
      </c>
      <c r="L101" s="3">
        <v>32</v>
      </c>
      <c r="M101" s="3">
        <v>38</v>
      </c>
      <c r="N101" s="3">
        <v>15</v>
      </c>
      <c r="O101" s="9">
        <f t="shared" si="8"/>
        <v>115</v>
      </c>
      <c r="P101" s="7">
        <f t="shared" si="9"/>
        <v>0.73391304347826092</v>
      </c>
      <c r="Q101" s="3">
        <f t="shared" si="10"/>
        <v>62</v>
      </c>
      <c r="R101" s="3">
        <f t="shared" si="11"/>
        <v>53</v>
      </c>
    </row>
    <row r="102" spans="1:18" ht="13.2" x14ac:dyDescent="0.25">
      <c r="A102" s="3" t="s">
        <v>34</v>
      </c>
      <c r="B102" s="3" t="s">
        <v>25</v>
      </c>
      <c r="C102" s="4">
        <v>45213</v>
      </c>
      <c r="D102" s="5" t="s">
        <v>5</v>
      </c>
      <c r="E102" s="6">
        <v>9</v>
      </c>
      <c r="F102" s="3">
        <v>17</v>
      </c>
      <c r="G102" s="7">
        <f t="shared" si="6"/>
        <v>1.8888888888888888</v>
      </c>
      <c r="H102" s="8">
        <v>57800</v>
      </c>
      <c r="I102" s="8">
        <f t="shared" si="7"/>
        <v>6422.2222222222226</v>
      </c>
      <c r="J102" s="9">
        <v>397</v>
      </c>
      <c r="K102" s="3">
        <v>29</v>
      </c>
      <c r="L102" s="3">
        <v>31</v>
      </c>
      <c r="M102" s="3">
        <v>32</v>
      </c>
      <c r="N102" s="3">
        <v>10</v>
      </c>
      <c r="O102" s="9">
        <f t="shared" si="8"/>
        <v>102</v>
      </c>
      <c r="P102" s="7">
        <f t="shared" si="9"/>
        <v>0.75490196078431371</v>
      </c>
      <c r="Q102" s="3">
        <f t="shared" si="10"/>
        <v>60</v>
      </c>
      <c r="R102" s="3">
        <f t="shared" si="11"/>
        <v>42</v>
      </c>
    </row>
    <row r="103" spans="1:18" ht="13.2" x14ac:dyDescent="0.25">
      <c r="A103" s="3" t="s">
        <v>34</v>
      </c>
      <c r="B103" s="3" t="s">
        <v>26</v>
      </c>
      <c r="C103" s="4">
        <v>45213</v>
      </c>
      <c r="D103" s="5" t="s">
        <v>2</v>
      </c>
      <c r="E103" s="6">
        <v>9</v>
      </c>
      <c r="F103" s="3">
        <v>15</v>
      </c>
      <c r="G103" s="7">
        <f t="shared" si="6"/>
        <v>1.6666666666666667</v>
      </c>
      <c r="H103" s="8">
        <v>51000</v>
      </c>
      <c r="I103" s="8">
        <f t="shared" si="7"/>
        <v>5666.666666666667</v>
      </c>
      <c r="J103" s="9">
        <v>327</v>
      </c>
      <c r="K103" s="3">
        <v>35</v>
      </c>
      <c r="L103" s="3">
        <v>40</v>
      </c>
      <c r="M103" s="3">
        <v>22</v>
      </c>
      <c r="N103" s="3">
        <v>13</v>
      </c>
      <c r="O103" s="9">
        <f t="shared" si="8"/>
        <v>110</v>
      </c>
      <c r="P103" s="7">
        <f t="shared" si="9"/>
        <v>0.77636363636363637</v>
      </c>
      <c r="Q103" s="3">
        <f t="shared" si="10"/>
        <v>75</v>
      </c>
      <c r="R103" s="3">
        <f t="shared" si="11"/>
        <v>35</v>
      </c>
    </row>
    <row r="104" spans="1:18" ht="13.2" x14ac:dyDescent="0.25">
      <c r="A104" s="3" t="s">
        <v>34</v>
      </c>
      <c r="B104" s="3" t="s">
        <v>25</v>
      </c>
      <c r="C104" s="4">
        <v>45215</v>
      </c>
      <c r="D104" s="5" t="s">
        <v>0</v>
      </c>
      <c r="E104" s="6">
        <v>9</v>
      </c>
      <c r="F104" s="3">
        <v>24</v>
      </c>
      <c r="G104" s="7">
        <f t="shared" si="6"/>
        <v>2.6666666666666665</v>
      </c>
      <c r="H104" s="8">
        <v>81600</v>
      </c>
      <c r="I104" s="8">
        <f t="shared" si="7"/>
        <v>9066.6666666666661</v>
      </c>
      <c r="J104" s="9">
        <v>327</v>
      </c>
      <c r="K104" s="3">
        <v>20</v>
      </c>
      <c r="L104" s="3">
        <v>34</v>
      </c>
      <c r="M104" s="3">
        <v>32</v>
      </c>
      <c r="N104" s="3">
        <v>10</v>
      </c>
      <c r="O104" s="9">
        <f t="shared" si="8"/>
        <v>96</v>
      </c>
      <c r="P104" s="7">
        <f t="shared" si="9"/>
        <v>0.73333333333333328</v>
      </c>
      <c r="Q104" s="3">
        <f t="shared" si="10"/>
        <v>54</v>
      </c>
      <c r="R104" s="3">
        <f t="shared" si="11"/>
        <v>42</v>
      </c>
    </row>
    <row r="105" spans="1:18" ht="13.2" x14ac:dyDescent="0.25">
      <c r="A105" s="3" t="s">
        <v>34</v>
      </c>
      <c r="B105" s="3" t="s">
        <v>26</v>
      </c>
      <c r="C105" s="4">
        <v>45215</v>
      </c>
      <c r="D105" s="5" t="s">
        <v>3</v>
      </c>
      <c r="E105" s="6">
        <v>9</v>
      </c>
      <c r="F105" s="3">
        <v>19</v>
      </c>
      <c r="G105" s="7">
        <f t="shared" si="6"/>
        <v>2.1111111111111112</v>
      </c>
      <c r="H105" s="8">
        <v>64600</v>
      </c>
      <c r="I105" s="8">
        <f t="shared" si="7"/>
        <v>7177.7777777777774</v>
      </c>
      <c r="J105" s="9">
        <v>317</v>
      </c>
      <c r="K105" s="3">
        <v>25</v>
      </c>
      <c r="L105" s="3">
        <v>32</v>
      </c>
      <c r="M105" s="3">
        <v>38</v>
      </c>
      <c r="N105" s="3">
        <v>13</v>
      </c>
      <c r="O105" s="9">
        <f t="shared" si="8"/>
        <v>108</v>
      </c>
      <c r="P105" s="7">
        <f t="shared" si="9"/>
        <v>0.72777777777777775</v>
      </c>
      <c r="Q105" s="3">
        <f t="shared" si="10"/>
        <v>57</v>
      </c>
      <c r="R105" s="3">
        <f t="shared" si="11"/>
        <v>51</v>
      </c>
    </row>
    <row r="106" spans="1:18" ht="13.2" x14ac:dyDescent="0.25">
      <c r="A106" s="3" t="s">
        <v>34</v>
      </c>
      <c r="B106" s="3" t="s">
        <v>25</v>
      </c>
      <c r="C106" s="4">
        <v>45215</v>
      </c>
      <c r="D106" s="5" t="s">
        <v>4</v>
      </c>
      <c r="E106" s="6">
        <v>6</v>
      </c>
      <c r="F106" s="3">
        <v>16</v>
      </c>
      <c r="G106" s="7">
        <f t="shared" si="6"/>
        <v>2.6666666666666665</v>
      </c>
      <c r="H106" s="8">
        <v>54400</v>
      </c>
      <c r="I106" s="8">
        <f t="shared" si="7"/>
        <v>9066.6666666666661</v>
      </c>
      <c r="J106" s="9">
        <v>365</v>
      </c>
      <c r="K106" s="3">
        <v>30</v>
      </c>
      <c r="L106" s="3">
        <v>35</v>
      </c>
      <c r="M106" s="3">
        <v>33</v>
      </c>
      <c r="N106" s="3">
        <v>14</v>
      </c>
      <c r="O106" s="9">
        <f t="shared" si="8"/>
        <v>112</v>
      </c>
      <c r="P106" s="7">
        <f t="shared" si="9"/>
        <v>0.74464285714285716</v>
      </c>
      <c r="Q106" s="3">
        <f t="shared" si="10"/>
        <v>65</v>
      </c>
      <c r="R106" s="3">
        <f t="shared" si="11"/>
        <v>47</v>
      </c>
    </row>
    <row r="107" spans="1:18" ht="13.2" x14ac:dyDescent="0.25">
      <c r="A107" s="3" t="s">
        <v>34</v>
      </c>
      <c r="B107" s="3" t="s">
        <v>26</v>
      </c>
      <c r="C107" s="4">
        <v>45215</v>
      </c>
      <c r="D107" s="5" t="s">
        <v>1</v>
      </c>
      <c r="E107" s="6">
        <v>9</v>
      </c>
      <c r="F107" s="3">
        <v>16</v>
      </c>
      <c r="G107" s="7">
        <f t="shared" si="6"/>
        <v>1.7777777777777777</v>
      </c>
      <c r="H107" s="8">
        <v>54400</v>
      </c>
      <c r="I107" s="8">
        <f t="shared" si="7"/>
        <v>6044.4444444444443</v>
      </c>
      <c r="J107" s="9">
        <v>396</v>
      </c>
      <c r="K107" s="3">
        <v>25</v>
      </c>
      <c r="L107" s="3">
        <v>39</v>
      </c>
      <c r="M107" s="3">
        <v>37</v>
      </c>
      <c r="N107" s="3">
        <v>11</v>
      </c>
      <c r="O107" s="9">
        <f t="shared" si="8"/>
        <v>112</v>
      </c>
      <c r="P107" s="7">
        <f t="shared" si="9"/>
        <v>0.73928571428571432</v>
      </c>
      <c r="Q107" s="3">
        <f t="shared" si="10"/>
        <v>64</v>
      </c>
      <c r="R107" s="3">
        <f t="shared" si="11"/>
        <v>48</v>
      </c>
    </row>
    <row r="108" spans="1:18" ht="13.2" x14ac:dyDescent="0.25">
      <c r="A108" s="3" t="s">
        <v>34</v>
      </c>
      <c r="B108" s="3" t="s">
        <v>25</v>
      </c>
      <c r="C108" s="4">
        <v>45217</v>
      </c>
      <c r="D108" s="5" t="s">
        <v>5</v>
      </c>
      <c r="E108" s="6">
        <v>9</v>
      </c>
      <c r="F108" s="3">
        <v>23</v>
      </c>
      <c r="G108" s="7">
        <f t="shared" si="6"/>
        <v>2.5555555555555554</v>
      </c>
      <c r="H108" s="8">
        <v>78200</v>
      </c>
      <c r="I108" s="8">
        <f t="shared" si="7"/>
        <v>8688.8888888888887</v>
      </c>
      <c r="J108" s="9">
        <v>319</v>
      </c>
      <c r="K108" s="3">
        <v>27</v>
      </c>
      <c r="L108" s="3">
        <v>38</v>
      </c>
      <c r="M108" s="3">
        <v>40</v>
      </c>
      <c r="N108" s="3">
        <v>13</v>
      </c>
      <c r="O108" s="9">
        <f t="shared" si="8"/>
        <v>118</v>
      </c>
      <c r="P108" s="7">
        <f t="shared" si="9"/>
        <v>0.73389830508474574</v>
      </c>
      <c r="Q108" s="3">
        <f t="shared" si="10"/>
        <v>65</v>
      </c>
      <c r="R108" s="3">
        <f t="shared" si="11"/>
        <v>53</v>
      </c>
    </row>
    <row r="109" spans="1:18" ht="13.2" x14ac:dyDescent="0.25">
      <c r="A109" s="3" t="s">
        <v>34</v>
      </c>
      <c r="B109" s="3" t="s">
        <v>26</v>
      </c>
      <c r="C109" s="4">
        <v>45217</v>
      </c>
      <c r="D109" s="5" t="s">
        <v>2</v>
      </c>
      <c r="E109" s="6">
        <v>9</v>
      </c>
      <c r="F109" s="3">
        <v>21</v>
      </c>
      <c r="G109" s="7">
        <f t="shared" si="6"/>
        <v>2.3333333333333335</v>
      </c>
      <c r="H109" s="8">
        <v>71400</v>
      </c>
      <c r="I109" s="8">
        <f t="shared" si="7"/>
        <v>7933.333333333333</v>
      </c>
      <c r="J109" s="9">
        <v>329</v>
      </c>
      <c r="K109" s="3">
        <v>33</v>
      </c>
      <c r="L109" s="3">
        <v>34</v>
      </c>
      <c r="M109" s="3">
        <v>12</v>
      </c>
      <c r="N109" s="3">
        <v>14</v>
      </c>
      <c r="O109" s="9">
        <f t="shared" si="8"/>
        <v>93</v>
      </c>
      <c r="P109" s="7">
        <f t="shared" si="9"/>
        <v>0.78494623655913975</v>
      </c>
      <c r="Q109" s="3">
        <f t="shared" si="10"/>
        <v>67</v>
      </c>
      <c r="R109" s="3">
        <f t="shared" si="11"/>
        <v>26</v>
      </c>
    </row>
    <row r="110" spans="1:18" ht="13.2" x14ac:dyDescent="0.25">
      <c r="A110" s="3" t="s">
        <v>34</v>
      </c>
      <c r="B110" s="3" t="s">
        <v>25</v>
      </c>
      <c r="C110" s="4">
        <v>45222</v>
      </c>
      <c r="D110" s="5" t="s">
        <v>0</v>
      </c>
      <c r="E110" s="6">
        <v>9</v>
      </c>
      <c r="F110" s="3">
        <v>25</v>
      </c>
      <c r="G110" s="7">
        <f t="shared" si="6"/>
        <v>2.7777777777777777</v>
      </c>
      <c r="H110" s="8">
        <v>85000</v>
      </c>
      <c r="I110" s="8">
        <f t="shared" si="7"/>
        <v>9444.4444444444453</v>
      </c>
      <c r="J110" s="9">
        <v>333</v>
      </c>
      <c r="K110" s="3">
        <v>29</v>
      </c>
      <c r="L110" s="3">
        <v>34</v>
      </c>
      <c r="M110" s="3">
        <v>35</v>
      </c>
      <c r="N110" s="3">
        <v>12</v>
      </c>
      <c r="O110" s="9">
        <f t="shared" si="8"/>
        <v>110</v>
      </c>
      <c r="P110" s="7">
        <f t="shared" si="9"/>
        <v>0.74545454545454548</v>
      </c>
      <c r="Q110" s="3">
        <f t="shared" si="10"/>
        <v>63</v>
      </c>
      <c r="R110" s="3">
        <f t="shared" si="11"/>
        <v>47</v>
      </c>
    </row>
    <row r="111" spans="1:18" ht="13.2" x14ac:dyDescent="0.25">
      <c r="A111" s="3" t="s">
        <v>35</v>
      </c>
      <c r="B111" s="3" t="s">
        <v>26</v>
      </c>
      <c r="C111" s="4">
        <v>45223</v>
      </c>
      <c r="D111" s="5" t="s">
        <v>3</v>
      </c>
      <c r="E111" s="6">
        <v>8</v>
      </c>
      <c r="F111" s="3">
        <v>22</v>
      </c>
      <c r="G111" s="7">
        <f t="shared" si="6"/>
        <v>2.75</v>
      </c>
      <c r="H111" s="8">
        <v>74800</v>
      </c>
      <c r="I111" s="8">
        <f t="shared" si="7"/>
        <v>9350</v>
      </c>
      <c r="J111" s="9">
        <v>386</v>
      </c>
      <c r="K111" s="3">
        <v>20</v>
      </c>
      <c r="L111" s="3">
        <v>39</v>
      </c>
      <c r="M111" s="3">
        <v>38</v>
      </c>
      <c r="N111" s="3">
        <v>12</v>
      </c>
      <c r="O111" s="9">
        <f t="shared" si="8"/>
        <v>109</v>
      </c>
      <c r="P111" s="7">
        <f t="shared" si="9"/>
        <v>0.7229357798165138</v>
      </c>
      <c r="Q111" s="3">
        <f t="shared" si="10"/>
        <v>59</v>
      </c>
      <c r="R111" s="3">
        <f t="shared" si="11"/>
        <v>50</v>
      </c>
    </row>
    <row r="112" spans="1:18" ht="13.2" x14ac:dyDescent="0.25">
      <c r="A112" s="3" t="s">
        <v>35</v>
      </c>
      <c r="B112" s="3" t="s">
        <v>25</v>
      </c>
      <c r="C112" s="4">
        <v>45225</v>
      </c>
      <c r="D112" s="5" t="s">
        <v>4</v>
      </c>
      <c r="E112" s="6">
        <v>8</v>
      </c>
      <c r="F112" s="3">
        <v>24</v>
      </c>
      <c r="G112" s="7">
        <f t="shared" si="6"/>
        <v>3</v>
      </c>
      <c r="H112" s="8">
        <v>81600</v>
      </c>
      <c r="I112" s="8">
        <f t="shared" si="7"/>
        <v>10200</v>
      </c>
      <c r="J112" s="9">
        <v>329</v>
      </c>
      <c r="K112" s="3">
        <v>15</v>
      </c>
      <c r="L112" s="3">
        <v>36</v>
      </c>
      <c r="M112" s="3">
        <v>50</v>
      </c>
      <c r="N112" s="3">
        <v>10</v>
      </c>
      <c r="O112" s="9">
        <f t="shared" si="8"/>
        <v>111</v>
      </c>
      <c r="P112" s="7">
        <f t="shared" si="9"/>
        <v>0.70090090090090085</v>
      </c>
      <c r="Q112" s="3">
        <f t="shared" si="10"/>
        <v>51</v>
      </c>
      <c r="R112" s="3">
        <f t="shared" si="11"/>
        <v>60</v>
      </c>
    </row>
    <row r="113" spans="1:18" ht="13.2" x14ac:dyDescent="0.25">
      <c r="A113" s="3" t="s">
        <v>35</v>
      </c>
      <c r="B113" s="3" t="s">
        <v>26</v>
      </c>
      <c r="C113" s="4">
        <v>45228</v>
      </c>
      <c r="D113" s="5" t="s">
        <v>1</v>
      </c>
      <c r="E113" s="6">
        <v>8</v>
      </c>
      <c r="F113" s="3">
        <v>22</v>
      </c>
      <c r="G113" s="7">
        <f t="shared" si="6"/>
        <v>2.75</v>
      </c>
      <c r="H113" s="8">
        <v>74800</v>
      </c>
      <c r="I113" s="8">
        <f t="shared" si="7"/>
        <v>9350</v>
      </c>
      <c r="J113" s="9">
        <v>332</v>
      </c>
      <c r="K113" s="3">
        <v>22</v>
      </c>
      <c r="L113" s="3">
        <v>39</v>
      </c>
      <c r="M113" s="3">
        <v>32</v>
      </c>
      <c r="N113" s="3">
        <v>11</v>
      </c>
      <c r="O113" s="9">
        <f t="shared" si="8"/>
        <v>104</v>
      </c>
      <c r="P113" s="7">
        <f t="shared" si="9"/>
        <v>0.7384615384615385</v>
      </c>
      <c r="Q113" s="3">
        <f t="shared" si="10"/>
        <v>61</v>
      </c>
      <c r="R113" s="3">
        <f t="shared" si="11"/>
        <v>43</v>
      </c>
    </row>
    <row r="114" spans="1:18" ht="13.2" x14ac:dyDescent="0.25">
      <c r="A114" s="3" t="s">
        <v>35</v>
      </c>
      <c r="B114" s="3" t="s">
        <v>25</v>
      </c>
      <c r="C114" s="4">
        <v>45229</v>
      </c>
      <c r="D114" s="5" t="s">
        <v>5</v>
      </c>
      <c r="E114" s="6">
        <v>6</v>
      </c>
      <c r="F114" s="3">
        <v>15</v>
      </c>
      <c r="G114" s="7">
        <f t="shared" si="6"/>
        <v>2.5</v>
      </c>
      <c r="H114" s="8">
        <v>70000</v>
      </c>
      <c r="I114" s="8">
        <f t="shared" si="7"/>
        <v>11666.666666666666</v>
      </c>
      <c r="J114" s="9">
        <v>384</v>
      </c>
      <c r="K114" s="3">
        <v>21</v>
      </c>
      <c r="L114" s="3">
        <v>37</v>
      </c>
      <c r="M114" s="3">
        <v>39</v>
      </c>
      <c r="N114" s="3">
        <v>11</v>
      </c>
      <c r="O114" s="9">
        <f t="shared" si="8"/>
        <v>108</v>
      </c>
      <c r="P114" s="7">
        <f t="shared" si="9"/>
        <v>0.72592592592592597</v>
      </c>
      <c r="Q114" s="3">
        <f t="shared" si="10"/>
        <v>58</v>
      </c>
      <c r="R114" s="3">
        <f t="shared" si="11"/>
        <v>50</v>
      </c>
    </row>
    <row r="115" spans="1:18" ht="13.2" x14ac:dyDescent="0.25">
      <c r="A115" s="3" t="s">
        <v>35</v>
      </c>
      <c r="B115" s="3" t="s">
        <v>26</v>
      </c>
      <c r="C115" s="4">
        <v>45230</v>
      </c>
      <c r="D115" s="5" t="s">
        <v>2</v>
      </c>
      <c r="E115" s="6">
        <v>9</v>
      </c>
      <c r="F115" s="3">
        <v>17</v>
      </c>
      <c r="G115" s="7">
        <f t="shared" si="6"/>
        <v>1.8888888888888888</v>
      </c>
      <c r="H115" s="8">
        <v>57800</v>
      </c>
      <c r="I115" s="8">
        <f t="shared" si="7"/>
        <v>6422.2222222222226</v>
      </c>
      <c r="J115" s="9">
        <v>327</v>
      </c>
      <c r="K115" s="3">
        <v>21</v>
      </c>
      <c r="L115" s="3">
        <v>38</v>
      </c>
      <c r="M115" s="3">
        <v>36</v>
      </c>
      <c r="N115" s="3">
        <v>12</v>
      </c>
      <c r="O115" s="9">
        <f t="shared" si="8"/>
        <v>107</v>
      </c>
      <c r="P115" s="7">
        <f t="shared" si="9"/>
        <v>0.7271028037383177</v>
      </c>
      <c r="Q115" s="3">
        <f t="shared" si="10"/>
        <v>59</v>
      </c>
      <c r="R115" s="3">
        <f t="shared" si="11"/>
        <v>48</v>
      </c>
    </row>
    <row r="116" spans="1:18" ht="13.2" x14ac:dyDescent="0.25">
      <c r="A116" s="3" t="s">
        <v>35</v>
      </c>
      <c r="B116" s="3" t="s">
        <v>25</v>
      </c>
      <c r="C116" s="4">
        <v>45230</v>
      </c>
      <c r="D116" s="5" t="s">
        <v>0</v>
      </c>
      <c r="E116" s="6">
        <v>9</v>
      </c>
      <c r="F116" s="3">
        <v>20</v>
      </c>
      <c r="G116" s="7">
        <f t="shared" si="6"/>
        <v>2.2222222222222223</v>
      </c>
      <c r="H116" s="8">
        <v>68000</v>
      </c>
      <c r="I116" s="8">
        <f t="shared" si="7"/>
        <v>7555.5555555555557</v>
      </c>
      <c r="J116" s="9">
        <v>396</v>
      </c>
      <c r="K116" s="3">
        <v>24</v>
      </c>
      <c r="L116" s="3">
        <v>39</v>
      </c>
      <c r="M116" s="3">
        <v>31</v>
      </c>
      <c r="N116" s="3">
        <v>10</v>
      </c>
      <c r="O116" s="9">
        <f t="shared" si="8"/>
        <v>104</v>
      </c>
      <c r="P116" s="7">
        <f t="shared" si="9"/>
        <v>0.74807692307692308</v>
      </c>
      <c r="Q116" s="3">
        <f t="shared" si="10"/>
        <v>63</v>
      </c>
      <c r="R116" s="3">
        <f t="shared" si="11"/>
        <v>41</v>
      </c>
    </row>
    <row r="117" spans="1:18" ht="13.2" x14ac:dyDescent="0.25">
      <c r="A117" s="3" t="s">
        <v>35</v>
      </c>
      <c r="B117" s="3" t="s">
        <v>26</v>
      </c>
      <c r="C117" s="4">
        <v>45234</v>
      </c>
      <c r="D117" s="5" t="s">
        <v>3</v>
      </c>
      <c r="E117" s="6">
        <v>6</v>
      </c>
      <c r="F117" s="3">
        <v>18</v>
      </c>
      <c r="G117" s="7">
        <f t="shared" si="6"/>
        <v>3</v>
      </c>
      <c r="H117" s="8">
        <v>61200</v>
      </c>
      <c r="I117" s="8">
        <f t="shared" si="7"/>
        <v>10200</v>
      </c>
      <c r="J117" s="9">
        <v>350</v>
      </c>
      <c r="K117" s="3">
        <v>29</v>
      </c>
      <c r="L117" s="3">
        <v>30</v>
      </c>
      <c r="M117" s="3">
        <v>32</v>
      </c>
      <c r="N117" s="3">
        <v>12</v>
      </c>
      <c r="O117" s="9">
        <f t="shared" si="8"/>
        <v>103</v>
      </c>
      <c r="P117" s="7">
        <f t="shared" si="9"/>
        <v>0.74757281553398058</v>
      </c>
      <c r="Q117" s="3">
        <f t="shared" si="10"/>
        <v>59</v>
      </c>
      <c r="R117" s="3">
        <f t="shared" si="11"/>
        <v>44</v>
      </c>
    </row>
    <row r="118" spans="1:18" ht="13.2" x14ac:dyDescent="0.25">
      <c r="A118" s="3" t="s">
        <v>35</v>
      </c>
      <c r="B118" s="3" t="s">
        <v>25</v>
      </c>
      <c r="C118" s="4">
        <v>45236</v>
      </c>
      <c r="D118" s="5" t="s">
        <v>4</v>
      </c>
      <c r="E118" s="6">
        <v>8</v>
      </c>
      <c r="F118" s="3">
        <v>21</v>
      </c>
      <c r="G118" s="7">
        <f t="shared" si="6"/>
        <v>2.625</v>
      </c>
      <c r="H118" s="8">
        <v>71400</v>
      </c>
      <c r="I118" s="8">
        <f t="shared" si="7"/>
        <v>8925</v>
      </c>
      <c r="J118" s="9">
        <v>300</v>
      </c>
      <c r="K118" s="3">
        <v>14</v>
      </c>
      <c r="L118" s="3">
        <v>39</v>
      </c>
      <c r="M118" s="3">
        <v>34</v>
      </c>
      <c r="N118" s="3">
        <v>14</v>
      </c>
      <c r="O118" s="9">
        <f t="shared" si="8"/>
        <v>101</v>
      </c>
      <c r="P118" s="7">
        <f t="shared" si="9"/>
        <v>0.70495049504950491</v>
      </c>
      <c r="Q118" s="3">
        <f t="shared" si="10"/>
        <v>53</v>
      </c>
      <c r="R118" s="3">
        <f t="shared" si="11"/>
        <v>48</v>
      </c>
    </row>
    <row r="119" spans="1:18" ht="13.2" x14ac:dyDescent="0.25">
      <c r="A119" s="3" t="s">
        <v>35</v>
      </c>
      <c r="B119" s="3" t="s">
        <v>26</v>
      </c>
      <c r="C119" s="4">
        <v>45236</v>
      </c>
      <c r="D119" s="5" t="s">
        <v>1</v>
      </c>
      <c r="E119" s="6">
        <v>9</v>
      </c>
      <c r="F119" s="3">
        <v>15</v>
      </c>
      <c r="G119" s="7">
        <f t="shared" si="6"/>
        <v>1.6666666666666667</v>
      </c>
      <c r="H119" s="8">
        <v>51000</v>
      </c>
      <c r="I119" s="8">
        <f t="shared" si="7"/>
        <v>5666.666666666667</v>
      </c>
      <c r="J119" s="9">
        <v>316</v>
      </c>
      <c r="K119" s="3">
        <v>29</v>
      </c>
      <c r="L119" s="3">
        <v>35</v>
      </c>
      <c r="M119" s="3">
        <v>33</v>
      </c>
      <c r="N119" s="3">
        <v>10</v>
      </c>
      <c r="O119" s="9">
        <f t="shared" si="8"/>
        <v>107</v>
      </c>
      <c r="P119" s="7">
        <f t="shared" si="9"/>
        <v>0.7551401869158878</v>
      </c>
      <c r="Q119" s="3">
        <f t="shared" si="10"/>
        <v>64</v>
      </c>
      <c r="R119" s="3">
        <f t="shared" si="11"/>
        <v>43</v>
      </c>
    </row>
    <row r="120" spans="1:18" ht="13.2" x14ac:dyDescent="0.25">
      <c r="A120" s="3" t="s">
        <v>35</v>
      </c>
      <c r="B120" s="3" t="s">
        <v>25</v>
      </c>
      <c r="C120" s="4">
        <v>45239</v>
      </c>
      <c r="D120" s="5" t="s">
        <v>5</v>
      </c>
      <c r="E120" s="6">
        <v>9</v>
      </c>
      <c r="F120" s="3">
        <v>15</v>
      </c>
      <c r="G120" s="7">
        <f t="shared" si="6"/>
        <v>1.6666666666666667</v>
      </c>
      <c r="H120" s="8">
        <v>51000</v>
      </c>
      <c r="I120" s="8">
        <f t="shared" si="7"/>
        <v>5666.666666666667</v>
      </c>
      <c r="J120" s="9">
        <v>384</v>
      </c>
      <c r="K120" s="3">
        <v>21</v>
      </c>
      <c r="L120" s="3">
        <v>37</v>
      </c>
      <c r="M120" s="3">
        <v>39</v>
      </c>
      <c r="N120" s="3">
        <v>11</v>
      </c>
      <c r="O120" s="9">
        <f t="shared" si="8"/>
        <v>108</v>
      </c>
      <c r="P120" s="7">
        <f t="shared" si="9"/>
        <v>0.72592592592592597</v>
      </c>
      <c r="Q120" s="3">
        <f t="shared" si="10"/>
        <v>58</v>
      </c>
      <c r="R120" s="3">
        <f t="shared" si="11"/>
        <v>50</v>
      </c>
    </row>
    <row r="121" spans="1:18" ht="13.2" x14ac:dyDescent="0.25">
      <c r="A121" s="3" t="s">
        <v>35</v>
      </c>
      <c r="B121" s="3" t="s">
        <v>26</v>
      </c>
      <c r="C121" s="4">
        <v>45239</v>
      </c>
      <c r="D121" s="5" t="s">
        <v>2</v>
      </c>
      <c r="E121" s="6">
        <v>7</v>
      </c>
      <c r="F121" s="3">
        <v>17</v>
      </c>
      <c r="G121" s="7">
        <f t="shared" si="6"/>
        <v>2.4285714285714284</v>
      </c>
      <c r="H121" s="8">
        <v>57800</v>
      </c>
      <c r="I121" s="8">
        <f t="shared" si="7"/>
        <v>8257.1428571428569</v>
      </c>
      <c r="J121" s="9">
        <v>327</v>
      </c>
      <c r="K121" s="3">
        <v>33</v>
      </c>
      <c r="L121" s="3">
        <v>44</v>
      </c>
      <c r="M121" s="3">
        <v>36</v>
      </c>
      <c r="N121" s="3">
        <v>12</v>
      </c>
      <c r="O121" s="9">
        <f t="shared" si="8"/>
        <v>125</v>
      </c>
      <c r="P121" s="7">
        <f t="shared" si="9"/>
        <v>0.75680000000000003</v>
      </c>
      <c r="Q121" s="3">
        <f t="shared" si="10"/>
        <v>77</v>
      </c>
      <c r="R121" s="3">
        <f t="shared" si="11"/>
        <v>48</v>
      </c>
    </row>
  </sheetData>
  <autoFilter ref="A1:R121" xr:uid="{E1F91D82-C58A-4CFD-96E0-E62A68F2737E}"/>
  <pageMargins left="0.7" right="0.7" top="0.75" bottom="0.75" header="0.3" footer="0.3"/>
  <ignoredErrors>
    <ignoredError sqref="O2:O121" formulaRang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76C6E-0E9E-46C0-82CB-A9165652EF07}">
  <dimension ref="A3:M79"/>
  <sheetViews>
    <sheetView tabSelected="1" topLeftCell="G1" workbookViewId="0">
      <selection activeCell="G8" sqref="G8"/>
    </sheetView>
  </sheetViews>
  <sheetFormatPr defaultRowHeight="14.4" x14ac:dyDescent="0.3"/>
  <cols>
    <col min="1" max="1" width="14.88671875" bestFit="1" customWidth="1"/>
    <col min="2" max="2" width="11.6640625" bestFit="1" customWidth="1"/>
    <col min="3" max="3" width="15.5546875" bestFit="1" customWidth="1"/>
    <col min="6" max="6" width="12.5546875" bestFit="1" customWidth="1"/>
    <col min="7" max="7" width="14.88671875" bestFit="1" customWidth="1"/>
    <col min="9" max="9" width="26" bestFit="1" customWidth="1"/>
    <col min="10" max="10" width="11.6640625" bestFit="1" customWidth="1"/>
    <col min="12" max="12" width="12.5546875" bestFit="1" customWidth="1"/>
    <col min="13" max="13" width="14.88671875" bestFit="1" customWidth="1"/>
  </cols>
  <sheetData>
    <row r="3" spans="1:13" x14ac:dyDescent="0.3">
      <c r="A3" t="s">
        <v>36</v>
      </c>
      <c r="B3" t="s">
        <v>37</v>
      </c>
      <c r="C3" t="s">
        <v>38</v>
      </c>
    </row>
    <row r="4" spans="1:13" x14ac:dyDescent="0.3">
      <c r="A4" s="16">
        <v>8665400</v>
      </c>
      <c r="B4" s="17">
        <v>2739</v>
      </c>
      <c r="C4" s="10">
        <v>7.6833333333333336</v>
      </c>
    </row>
    <row r="6" spans="1:13" x14ac:dyDescent="0.3">
      <c r="A6" s="11" t="s">
        <v>39</v>
      </c>
      <c r="B6" t="s">
        <v>113</v>
      </c>
      <c r="C6" t="s">
        <v>114</v>
      </c>
      <c r="F6" s="11" t="s">
        <v>39</v>
      </c>
      <c r="G6" t="s">
        <v>36</v>
      </c>
      <c r="I6" s="11" t="s">
        <v>39</v>
      </c>
      <c r="J6" t="s">
        <v>37</v>
      </c>
      <c r="L6" s="11" t="s">
        <v>39</v>
      </c>
      <c r="M6" t="s">
        <v>36</v>
      </c>
    </row>
    <row r="7" spans="1:13" x14ac:dyDescent="0.3">
      <c r="A7" s="12" t="s">
        <v>41</v>
      </c>
      <c r="B7" s="13">
        <v>358</v>
      </c>
      <c r="C7" s="17">
        <v>22</v>
      </c>
      <c r="F7" s="12" t="s">
        <v>41</v>
      </c>
      <c r="G7" s="16">
        <v>74800</v>
      </c>
      <c r="I7" s="12" t="s">
        <v>4</v>
      </c>
      <c r="J7" s="17">
        <v>464</v>
      </c>
      <c r="L7" s="12" t="s">
        <v>33</v>
      </c>
      <c r="M7" s="16">
        <v>848000</v>
      </c>
    </row>
    <row r="8" spans="1:13" x14ac:dyDescent="0.3">
      <c r="A8" s="12" t="s">
        <v>42</v>
      </c>
      <c r="B8" s="13">
        <v>723</v>
      </c>
      <c r="C8" s="17">
        <v>64</v>
      </c>
      <c r="F8" s="12" t="s">
        <v>42</v>
      </c>
      <c r="G8" s="16">
        <v>154600</v>
      </c>
      <c r="I8" s="12" t="s">
        <v>0</v>
      </c>
      <c r="J8" s="17">
        <v>641</v>
      </c>
      <c r="L8" s="12" t="s">
        <v>24</v>
      </c>
      <c r="M8" s="16">
        <v>920200</v>
      </c>
    </row>
    <row r="9" spans="1:13" x14ac:dyDescent="0.3">
      <c r="A9" s="12" t="s">
        <v>43</v>
      </c>
      <c r="B9" s="13">
        <v>833</v>
      </c>
      <c r="C9" s="17">
        <v>105</v>
      </c>
      <c r="F9" s="12" t="s">
        <v>43</v>
      </c>
      <c r="G9" s="16">
        <v>160000</v>
      </c>
      <c r="I9" s="12" t="s">
        <v>1</v>
      </c>
      <c r="J9" s="17">
        <v>415</v>
      </c>
      <c r="L9" s="12" t="s">
        <v>30</v>
      </c>
      <c r="M9" s="16">
        <v>891000</v>
      </c>
    </row>
    <row r="10" spans="1:13" x14ac:dyDescent="0.3">
      <c r="A10" s="12" t="s">
        <v>44</v>
      </c>
      <c r="B10" s="13">
        <v>250</v>
      </c>
      <c r="C10" s="17">
        <v>60</v>
      </c>
      <c r="F10" s="12" t="s">
        <v>44</v>
      </c>
      <c r="G10" s="16">
        <v>120000</v>
      </c>
      <c r="I10" s="12" t="s">
        <v>2</v>
      </c>
      <c r="J10" s="17">
        <v>389</v>
      </c>
      <c r="L10" s="12" t="s">
        <v>29</v>
      </c>
      <c r="M10" s="16">
        <v>875800</v>
      </c>
    </row>
    <row r="11" spans="1:13" x14ac:dyDescent="0.3">
      <c r="A11" s="12" t="s">
        <v>45</v>
      </c>
      <c r="B11" s="13">
        <v>1173</v>
      </c>
      <c r="C11" s="17">
        <v>54</v>
      </c>
      <c r="F11" s="12" t="s">
        <v>45</v>
      </c>
      <c r="G11" s="16">
        <v>217700</v>
      </c>
      <c r="I11" s="12" t="s">
        <v>5</v>
      </c>
      <c r="J11" s="17">
        <v>435</v>
      </c>
      <c r="L11" s="12" t="s">
        <v>31</v>
      </c>
      <c r="M11" s="16">
        <v>867500</v>
      </c>
    </row>
    <row r="12" spans="1:13" x14ac:dyDescent="0.3">
      <c r="A12" s="12" t="s">
        <v>46</v>
      </c>
      <c r="B12" s="13">
        <v>721</v>
      </c>
      <c r="C12" s="17">
        <v>36</v>
      </c>
      <c r="F12" s="12" t="s">
        <v>46</v>
      </c>
      <c r="G12" s="16">
        <v>210000</v>
      </c>
      <c r="I12" s="12" t="s">
        <v>3</v>
      </c>
      <c r="J12" s="17">
        <v>395</v>
      </c>
      <c r="L12" s="12" t="s">
        <v>27</v>
      </c>
      <c r="M12" s="16">
        <v>885800</v>
      </c>
    </row>
    <row r="13" spans="1:13" x14ac:dyDescent="0.3">
      <c r="A13" s="12" t="s">
        <v>47</v>
      </c>
      <c r="B13" s="13">
        <v>2030</v>
      </c>
      <c r="C13" s="17">
        <v>283</v>
      </c>
      <c r="F13" s="12" t="s">
        <v>47</v>
      </c>
      <c r="G13" s="16">
        <v>560000</v>
      </c>
      <c r="I13" s="12" t="s">
        <v>40</v>
      </c>
      <c r="J13" s="17">
        <v>2739</v>
      </c>
      <c r="L13" s="12" t="s">
        <v>34</v>
      </c>
      <c r="M13" s="16">
        <v>860600</v>
      </c>
    </row>
    <row r="14" spans="1:13" x14ac:dyDescent="0.3">
      <c r="A14" s="12" t="s">
        <v>48</v>
      </c>
      <c r="B14" s="13">
        <v>1280</v>
      </c>
      <c r="C14" s="17">
        <v>115</v>
      </c>
      <c r="F14" s="12" t="s">
        <v>48</v>
      </c>
      <c r="G14" s="16">
        <v>327700</v>
      </c>
      <c r="L14" s="12" t="s">
        <v>28</v>
      </c>
      <c r="M14" s="16">
        <v>846000</v>
      </c>
    </row>
    <row r="15" spans="1:13" x14ac:dyDescent="0.3">
      <c r="A15" s="12" t="s">
        <v>49</v>
      </c>
      <c r="B15" s="13">
        <v>687</v>
      </c>
      <c r="C15" s="17">
        <v>42</v>
      </c>
      <c r="F15" s="12" t="s">
        <v>49</v>
      </c>
      <c r="G15" s="16">
        <v>179400</v>
      </c>
      <c r="L15" s="12" t="s">
        <v>35</v>
      </c>
      <c r="M15" s="16">
        <v>799400</v>
      </c>
    </row>
    <row r="16" spans="1:13" x14ac:dyDescent="0.3">
      <c r="A16" s="12" t="s">
        <v>50</v>
      </c>
      <c r="B16" s="13">
        <v>694</v>
      </c>
      <c r="C16" s="17">
        <v>44</v>
      </c>
      <c r="F16" s="12" t="s">
        <v>50</v>
      </c>
      <c r="G16" s="16">
        <v>149600</v>
      </c>
      <c r="L16" s="12" t="s">
        <v>32</v>
      </c>
      <c r="M16" s="16">
        <v>871100</v>
      </c>
    </row>
    <row r="17" spans="1:13" x14ac:dyDescent="0.3">
      <c r="A17" s="12" t="s">
        <v>51</v>
      </c>
      <c r="B17" s="13">
        <v>681</v>
      </c>
      <c r="C17" s="17">
        <v>39</v>
      </c>
      <c r="F17" s="12" t="s">
        <v>51</v>
      </c>
      <c r="G17" s="16">
        <v>132600</v>
      </c>
      <c r="L17" s="12" t="s">
        <v>40</v>
      </c>
      <c r="M17" s="16">
        <v>8665400</v>
      </c>
    </row>
    <row r="18" spans="1:13" x14ac:dyDescent="0.3">
      <c r="A18" s="12" t="s">
        <v>52</v>
      </c>
      <c r="B18" s="13">
        <v>380</v>
      </c>
      <c r="C18" s="17">
        <v>19</v>
      </c>
      <c r="F18" s="12" t="s">
        <v>52</v>
      </c>
      <c r="G18" s="16">
        <v>64600</v>
      </c>
    </row>
    <row r="19" spans="1:13" x14ac:dyDescent="0.3">
      <c r="A19" s="12" t="s">
        <v>53</v>
      </c>
      <c r="B19" s="13">
        <v>715</v>
      </c>
      <c r="C19" s="17">
        <v>44</v>
      </c>
      <c r="F19" s="12" t="s">
        <v>53</v>
      </c>
      <c r="G19" s="16">
        <v>149600</v>
      </c>
    </row>
    <row r="20" spans="1:13" x14ac:dyDescent="0.3">
      <c r="A20" s="12" t="s">
        <v>54</v>
      </c>
      <c r="B20" s="13">
        <v>348</v>
      </c>
      <c r="C20" s="17">
        <v>25</v>
      </c>
      <c r="F20" s="12" t="s">
        <v>54</v>
      </c>
      <c r="G20" s="16">
        <v>70000</v>
      </c>
    </row>
    <row r="21" spans="1:13" x14ac:dyDescent="0.3">
      <c r="A21" s="12" t="s">
        <v>55</v>
      </c>
      <c r="B21" s="13">
        <v>381</v>
      </c>
      <c r="C21" s="17">
        <v>21</v>
      </c>
      <c r="F21" s="12" t="s">
        <v>55</v>
      </c>
      <c r="G21" s="16">
        <v>71400</v>
      </c>
      <c r="I21" t="s">
        <v>115</v>
      </c>
    </row>
    <row r="22" spans="1:13" x14ac:dyDescent="0.3">
      <c r="A22" s="12" t="s">
        <v>56</v>
      </c>
      <c r="B22" s="13">
        <v>335</v>
      </c>
      <c r="C22" s="17">
        <v>24</v>
      </c>
      <c r="F22" s="12" t="s">
        <v>56</v>
      </c>
      <c r="G22" s="16">
        <v>81600</v>
      </c>
      <c r="I22" s="14">
        <v>0.74947257877027906</v>
      </c>
      <c r="J22">
        <v>0.01</v>
      </c>
      <c r="K22" s="14">
        <f>2-SUM(I22:J22)</f>
        <v>1.240527421229721</v>
      </c>
    </row>
    <row r="23" spans="1:13" x14ac:dyDescent="0.3">
      <c r="A23" s="12" t="s">
        <v>57</v>
      </c>
      <c r="B23" s="13">
        <v>327</v>
      </c>
      <c r="C23" s="17">
        <v>18</v>
      </c>
      <c r="F23" s="12" t="s">
        <v>57</v>
      </c>
      <c r="G23" s="16">
        <v>61200</v>
      </c>
    </row>
    <row r="24" spans="1:13" x14ac:dyDescent="0.3">
      <c r="A24" s="12" t="s">
        <v>58</v>
      </c>
      <c r="B24" s="13">
        <v>734</v>
      </c>
      <c r="C24" s="17">
        <v>47</v>
      </c>
      <c r="F24" s="12" t="s">
        <v>58</v>
      </c>
      <c r="G24" s="16">
        <v>159800</v>
      </c>
    </row>
    <row r="25" spans="1:13" x14ac:dyDescent="0.3">
      <c r="A25" s="12" t="s">
        <v>59</v>
      </c>
      <c r="B25" s="13">
        <v>370</v>
      </c>
      <c r="C25" s="17">
        <v>19</v>
      </c>
      <c r="F25" s="12" t="s">
        <v>59</v>
      </c>
      <c r="G25" s="16">
        <v>64600</v>
      </c>
    </row>
    <row r="26" spans="1:13" x14ac:dyDescent="0.3">
      <c r="A26" s="12" t="s">
        <v>60</v>
      </c>
      <c r="B26" s="13">
        <v>302</v>
      </c>
      <c r="C26" s="17">
        <v>15</v>
      </c>
      <c r="F26" s="12" t="s">
        <v>60</v>
      </c>
      <c r="G26" s="16">
        <v>51000</v>
      </c>
    </row>
    <row r="27" spans="1:13" x14ac:dyDescent="0.3">
      <c r="A27" s="12" t="s">
        <v>61</v>
      </c>
      <c r="B27" s="13">
        <v>316</v>
      </c>
      <c r="C27" s="17">
        <v>18</v>
      </c>
      <c r="F27" s="12" t="s">
        <v>61</v>
      </c>
      <c r="G27" s="16">
        <v>61200</v>
      </c>
    </row>
    <row r="28" spans="1:13" x14ac:dyDescent="0.3">
      <c r="A28" s="12" t="s">
        <v>62</v>
      </c>
      <c r="B28" s="13">
        <v>330</v>
      </c>
      <c r="C28" s="17">
        <v>25</v>
      </c>
      <c r="F28" s="12" t="s">
        <v>62</v>
      </c>
      <c r="G28" s="16">
        <v>85000</v>
      </c>
    </row>
    <row r="29" spans="1:13" x14ac:dyDescent="0.3">
      <c r="A29" s="12" t="s">
        <v>63</v>
      </c>
      <c r="B29" s="13">
        <v>356</v>
      </c>
      <c r="C29" s="17">
        <v>15</v>
      </c>
      <c r="F29" s="12" t="s">
        <v>63</v>
      </c>
      <c r="G29" s="16">
        <v>51000</v>
      </c>
    </row>
    <row r="30" spans="1:13" x14ac:dyDescent="0.3">
      <c r="A30" s="12" t="s">
        <v>64</v>
      </c>
      <c r="B30" s="13">
        <v>776</v>
      </c>
      <c r="C30" s="17">
        <v>47</v>
      </c>
      <c r="F30" s="12" t="s">
        <v>64</v>
      </c>
      <c r="G30" s="16">
        <v>159800</v>
      </c>
    </row>
    <row r="31" spans="1:13" x14ac:dyDescent="0.3">
      <c r="A31" s="12" t="s">
        <v>65</v>
      </c>
      <c r="B31" s="13">
        <v>348</v>
      </c>
      <c r="C31" s="17">
        <v>21</v>
      </c>
      <c r="F31" s="12" t="s">
        <v>65</v>
      </c>
      <c r="G31" s="16">
        <v>71400</v>
      </c>
    </row>
    <row r="32" spans="1:13" x14ac:dyDescent="0.3">
      <c r="A32" s="12" t="s">
        <v>66</v>
      </c>
      <c r="B32" s="13">
        <v>1427</v>
      </c>
      <c r="C32" s="17">
        <v>76</v>
      </c>
      <c r="F32" s="12" t="s">
        <v>66</v>
      </c>
      <c r="G32" s="16">
        <v>258400</v>
      </c>
    </row>
    <row r="33" spans="1:7" x14ac:dyDescent="0.3">
      <c r="A33" s="12" t="s">
        <v>67</v>
      </c>
      <c r="B33" s="13">
        <v>353</v>
      </c>
      <c r="C33" s="17">
        <v>16</v>
      </c>
      <c r="F33" s="12" t="s">
        <v>67</v>
      </c>
      <c r="G33" s="16">
        <v>54400</v>
      </c>
    </row>
    <row r="34" spans="1:7" x14ac:dyDescent="0.3">
      <c r="A34" s="12" t="s">
        <v>68</v>
      </c>
      <c r="B34" s="13">
        <v>324</v>
      </c>
      <c r="C34" s="17">
        <v>15</v>
      </c>
      <c r="F34" s="12" t="s">
        <v>68</v>
      </c>
      <c r="G34" s="16">
        <v>51000</v>
      </c>
    </row>
    <row r="35" spans="1:7" x14ac:dyDescent="0.3">
      <c r="A35" s="12" t="s">
        <v>69</v>
      </c>
      <c r="B35" s="13">
        <v>1022</v>
      </c>
      <c r="C35" s="17">
        <v>53</v>
      </c>
      <c r="F35" s="12" t="s">
        <v>69</v>
      </c>
      <c r="G35" s="16">
        <v>180200</v>
      </c>
    </row>
    <row r="36" spans="1:7" x14ac:dyDescent="0.3">
      <c r="A36" s="12" t="s">
        <v>70</v>
      </c>
      <c r="B36" s="13">
        <v>398</v>
      </c>
      <c r="C36" s="17">
        <v>16</v>
      </c>
      <c r="F36" s="12" t="s">
        <v>70</v>
      </c>
      <c r="G36" s="16">
        <v>54400</v>
      </c>
    </row>
    <row r="37" spans="1:7" x14ac:dyDescent="0.3">
      <c r="A37" s="12" t="s">
        <v>71</v>
      </c>
      <c r="B37" s="13">
        <v>324</v>
      </c>
      <c r="C37" s="17">
        <v>19</v>
      </c>
      <c r="F37" s="12" t="s">
        <v>71</v>
      </c>
      <c r="G37" s="16">
        <v>64600</v>
      </c>
    </row>
    <row r="38" spans="1:7" x14ac:dyDescent="0.3">
      <c r="A38" s="12" t="s">
        <v>72</v>
      </c>
      <c r="B38" s="13">
        <v>307</v>
      </c>
      <c r="C38" s="17">
        <v>19</v>
      </c>
      <c r="F38" s="12" t="s">
        <v>72</v>
      </c>
      <c r="G38" s="16">
        <v>64600</v>
      </c>
    </row>
    <row r="39" spans="1:7" x14ac:dyDescent="0.3">
      <c r="A39" s="12" t="s">
        <v>73</v>
      </c>
      <c r="B39" s="13">
        <v>327</v>
      </c>
      <c r="C39" s="17">
        <v>16</v>
      </c>
      <c r="F39" s="12" t="s">
        <v>73</v>
      </c>
      <c r="G39" s="16">
        <v>54400</v>
      </c>
    </row>
    <row r="40" spans="1:7" x14ac:dyDescent="0.3">
      <c r="A40" s="12" t="s">
        <v>74</v>
      </c>
      <c r="B40" s="13">
        <v>394</v>
      </c>
      <c r="C40" s="17">
        <v>16</v>
      </c>
      <c r="F40" s="12" t="s">
        <v>74</v>
      </c>
      <c r="G40" s="16">
        <v>54400</v>
      </c>
    </row>
    <row r="41" spans="1:7" x14ac:dyDescent="0.3">
      <c r="A41" s="12" t="s">
        <v>75</v>
      </c>
      <c r="B41" s="13">
        <v>707</v>
      </c>
      <c r="C41" s="17">
        <v>48</v>
      </c>
      <c r="F41" s="12" t="s">
        <v>75</v>
      </c>
      <c r="G41" s="16">
        <v>163200</v>
      </c>
    </row>
    <row r="42" spans="1:7" x14ac:dyDescent="0.3">
      <c r="A42" s="12" t="s">
        <v>76</v>
      </c>
      <c r="B42" s="13">
        <v>377</v>
      </c>
      <c r="C42" s="17">
        <v>22</v>
      </c>
      <c r="F42" s="12" t="s">
        <v>76</v>
      </c>
      <c r="G42" s="16">
        <v>74800</v>
      </c>
    </row>
    <row r="43" spans="1:7" x14ac:dyDescent="0.3">
      <c r="A43" s="12" t="s">
        <v>77</v>
      </c>
      <c r="B43" s="13">
        <v>718</v>
      </c>
      <c r="C43" s="17">
        <v>40</v>
      </c>
      <c r="F43" s="12" t="s">
        <v>77</v>
      </c>
      <c r="G43" s="16">
        <v>136000</v>
      </c>
    </row>
    <row r="44" spans="1:7" x14ac:dyDescent="0.3">
      <c r="A44" s="12" t="s">
        <v>78</v>
      </c>
      <c r="B44" s="13">
        <v>338</v>
      </c>
      <c r="C44" s="17">
        <v>25</v>
      </c>
      <c r="F44" s="12" t="s">
        <v>78</v>
      </c>
      <c r="G44" s="16">
        <v>85000</v>
      </c>
    </row>
    <row r="45" spans="1:7" x14ac:dyDescent="0.3">
      <c r="A45" s="12" t="s">
        <v>79</v>
      </c>
      <c r="B45" s="13">
        <v>371</v>
      </c>
      <c r="C45" s="17">
        <v>23</v>
      </c>
      <c r="F45" s="12" t="s">
        <v>79</v>
      </c>
      <c r="G45" s="16">
        <v>78200</v>
      </c>
    </row>
    <row r="46" spans="1:7" x14ac:dyDescent="0.3">
      <c r="A46" s="12" t="s">
        <v>80</v>
      </c>
      <c r="B46" s="13">
        <v>347</v>
      </c>
      <c r="C46" s="17">
        <v>17</v>
      </c>
      <c r="F46" s="12" t="s">
        <v>80</v>
      </c>
      <c r="G46" s="16">
        <v>57800</v>
      </c>
    </row>
    <row r="47" spans="1:7" x14ac:dyDescent="0.3">
      <c r="A47" s="12" t="s">
        <v>81</v>
      </c>
      <c r="B47" s="13">
        <v>368</v>
      </c>
      <c r="C47" s="17">
        <v>23</v>
      </c>
      <c r="F47" s="12" t="s">
        <v>81</v>
      </c>
      <c r="G47" s="16">
        <v>78200</v>
      </c>
    </row>
    <row r="48" spans="1:7" x14ac:dyDescent="0.3">
      <c r="A48" s="12" t="s">
        <v>82</v>
      </c>
      <c r="B48" s="13">
        <v>353</v>
      </c>
      <c r="C48" s="17">
        <v>25</v>
      </c>
      <c r="F48" s="12" t="s">
        <v>82</v>
      </c>
      <c r="G48" s="16">
        <v>85000</v>
      </c>
    </row>
    <row r="49" spans="1:7" x14ac:dyDescent="0.3">
      <c r="A49" s="12" t="s">
        <v>83</v>
      </c>
      <c r="B49" s="13">
        <v>734</v>
      </c>
      <c r="C49" s="17">
        <v>40</v>
      </c>
      <c r="F49" s="12" t="s">
        <v>83</v>
      </c>
      <c r="G49" s="16">
        <v>136000</v>
      </c>
    </row>
    <row r="50" spans="1:7" x14ac:dyDescent="0.3">
      <c r="A50" s="12" t="s">
        <v>84</v>
      </c>
      <c r="B50" s="13">
        <v>1368</v>
      </c>
      <c r="C50" s="17">
        <v>80</v>
      </c>
      <c r="F50" s="12" t="s">
        <v>84</v>
      </c>
      <c r="G50" s="16">
        <v>272000</v>
      </c>
    </row>
    <row r="51" spans="1:7" x14ac:dyDescent="0.3">
      <c r="A51" s="12" t="s">
        <v>85</v>
      </c>
      <c r="B51" s="13">
        <v>723</v>
      </c>
      <c r="C51" s="17">
        <v>45</v>
      </c>
      <c r="F51" s="12" t="s">
        <v>85</v>
      </c>
      <c r="G51" s="16">
        <v>153000</v>
      </c>
    </row>
    <row r="52" spans="1:7" x14ac:dyDescent="0.3">
      <c r="A52" s="12" t="s">
        <v>86</v>
      </c>
      <c r="B52" s="13">
        <v>307</v>
      </c>
      <c r="C52" s="17">
        <v>20</v>
      </c>
      <c r="F52" s="12" t="s">
        <v>86</v>
      </c>
      <c r="G52" s="16">
        <v>68000</v>
      </c>
    </row>
    <row r="53" spans="1:7" x14ac:dyDescent="0.3">
      <c r="A53" s="12" t="s">
        <v>87</v>
      </c>
      <c r="B53" s="13">
        <v>1105</v>
      </c>
      <c r="C53" s="17">
        <v>52</v>
      </c>
      <c r="F53" s="12" t="s">
        <v>87</v>
      </c>
      <c r="G53" s="16">
        <v>176800</v>
      </c>
    </row>
    <row r="54" spans="1:7" x14ac:dyDescent="0.3">
      <c r="A54" s="12" t="s">
        <v>88</v>
      </c>
      <c r="B54" s="13">
        <v>648</v>
      </c>
      <c r="C54" s="17">
        <v>43</v>
      </c>
      <c r="F54" s="12" t="s">
        <v>88</v>
      </c>
      <c r="G54" s="16">
        <v>146200</v>
      </c>
    </row>
    <row r="55" spans="1:7" x14ac:dyDescent="0.3">
      <c r="A55" s="12" t="s">
        <v>89</v>
      </c>
      <c r="B55" s="13">
        <v>339</v>
      </c>
      <c r="C55" s="17">
        <v>21</v>
      </c>
      <c r="F55" s="12" t="s">
        <v>89</v>
      </c>
      <c r="G55" s="16">
        <v>71400</v>
      </c>
    </row>
    <row r="56" spans="1:7" x14ac:dyDescent="0.3">
      <c r="A56" s="12" t="s">
        <v>90</v>
      </c>
      <c r="B56" s="13">
        <v>720</v>
      </c>
      <c r="C56" s="17">
        <v>39</v>
      </c>
      <c r="F56" s="12" t="s">
        <v>90</v>
      </c>
      <c r="G56" s="16">
        <v>132600</v>
      </c>
    </row>
    <row r="57" spans="1:7" x14ac:dyDescent="0.3">
      <c r="A57" s="12" t="s">
        <v>91</v>
      </c>
      <c r="B57" s="13">
        <v>392</v>
      </c>
      <c r="C57" s="17">
        <v>15</v>
      </c>
      <c r="F57" s="12" t="s">
        <v>91</v>
      </c>
      <c r="G57" s="16">
        <v>51000</v>
      </c>
    </row>
    <row r="58" spans="1:7" x14ac:dyDescent="0.3">
      <c r="A58" s="12" t="s">
        <v>92</v>
      </c>
      <c r="B58" s="13">
        <v>768</v>
      </c>
      <c r="C58" s="17">
        <v>42</v>
      </c>
      <c r="F58" s="12" t="s">
        <v>92</v>
      </c>
      <c r="G58" s="16">
        <v>142800</v>
      </c>
    </row>
    <row r="59" spans="1:7" x14ac:dyDescent="0.3">
      <c r="A59" s="12" t="s">
        <v>93</v>
      </c>
      <c r="B59" s="13">
        <v>725</v>
      </c>
      <c r="C59" s="17">
        <v>41</v>
      </c>
      <c r="F59" s="12" t="s">
        <v>93</v>
      </c>
      <c r="G59" s="16">
        <v>139400</v>
      </c>
    </row>
    <row r="60" spans="1:7" x14ac:dyDescent="0.3">
      <c r="A60" s="12" t="s">
        <v>94</v>
      </c>
      <c r="B60" s="13">
        <v>394</v>
      </c>
      <c r="C60" s="17">
        <v>16</v>
      </c>
      <c r="F60" s="12" t="s">
        <v>94</v>
      </c>
      <c r="G60" s="16">
        <v>54400</v>
      </c>
    </row>
    <row r="61" spans="1:7" x14ac:dyDescent="0.3">
      <c r="A61" s="12" t="s">
        <v>95</v>
      </c>
      <c r="B61" s="13">
        <v>1001</v>
      </c>
      <c r="C61" s="17">
        <v>68</v>
      </c>
      <c r="F61" s="12" t="s">
        <v>95</v>
      </c>
      <c r="G61" s="16">
        <v>231200</v>
      </c>
    </row>
    <row r="62" spans="1:7" x14ac:dyDescent="0.3">
      <c r="A62" s="12" t="s">
        <v>96</v>
      </c>
      <c r="B62" s="13">
        <v>725</v>
      </c>
      <c r="C62" s="17">
        <v>38</v>
      </c>
      <c r="F62" s="12" t="s">
        <v>96</v>
      </c>
      <c r="G62" s="16">
        <v>129200</v>
      </c>
    </row>
    <row r="63" spans="1:7" x14ac:dyDescent="0.3">
      <c r="A63" s="12" t="s">
        <v>97</v>
      </c>
      <c r="B63" s="13">
        <v>744</v>
      </c>
      <c r="C63" s="17">
        <v>39</v>
      </c>
      <c r="F63" s="12" t="s">
        <v>97</v>
      </c>
      <c r="G63" s="16">
        <v>132600</v>
      </c>
    </row>
    <row r="64" spans="1:7" x14ac:dyDescent="0.3">
      <c r="A64" s="12" t="s">
        <v>98</v>
      </c>
      <c r="B64" s="13">
        <v>661</v>
      </c>
      <c r="C64" s="17">
        <v>34</v>
      </c>
      <c r="F64" s="12" t="s">
        <v>98</v>
      </c>
      <c r="G64" s="16">
        <v>115600</v>
      </c>
    </row>
    <row r="65" spans="1:7" x14ac:dyDescent="0.3">
      <c r="A65" s="12" t="s">
        <v>99</v>
      </c>
      <c r="B65" s="13">
        <v>323</v>
      </c>
      <c r="C65" s="17">
        <v>17</v>
      </c>
      <c r="F65" s="12" t="s">
        <v>99</v>
      </c>
      <c r="G65" s="16">
        <v>57800</v>
      </c>
    </row>
    <row r="66" spans="1:7" x14ac:dyDescent="0.3">
      <c r="A66" s="12" t="s">
        <v>100</v>
      </c>
      <c r="B66" s="13">
        <v>400</v>
      </c>
      <c r="C66" s="17">
        <v>16</v>
      </c>
      <c r="F66" s="12" t="s">
        <v>100</v>
      </c>
      <c r="G66" s="16">
        <v>54400</v>
      </c>
    </row>
    <row r="67" spans="1:7" x14ac:dyDescent="0.3">
      <c r="A67" s="12" t="s">
        <v>101</v>
      </c>
      <c r="B67" s="13">
        <v>724</v>
      </c>
      <c r="C67" s="17">
        <v>32</v>
      </c>
      <c r="F67" s="12" t="s">
        <v>101</v>
      </c>
      <c r="G67" s="16">
        <v>108800</v>
      </c>
    </row>
    <row r="68" spans="1:7" x14ac:dyDescent="0.3">
      <c r="A68" s="12" t="s">
        <v>102</v>
      </c>
      <c r="B68" s="13">
        <v>1405</v>
      </c>
      <c r="C68" s="17">
        <v>75</v>
      </c>
      <c r="F68" s="12" t="s">
        <v>102</v>
      </c>
      <c r="G68" s="16">
        <v>255000</v>
      </c>
    </row>
    <row r="69" spans="1:7" x14ac:dyDescent="0.3">
      <c r="A69" s="12" t="s">
        <v>103</v>
      </c>
      <c r="B69" s="13">
        <v>648</v>
      </c>
      <c r="C69" s="17">
        <v>44</v>
      </c>
      <c r="F69" s="12" t="s">
        <v>103</v>
      </c>
      <c r="G69" s="16">
        <v>149600</v>
      </c>
    </row>
    <row r="70" spans="1:7" x14ac:dyDescent="0.3">
      <c r="A70" s="12" t="s">
        <v>104</v>
      </c>
      <c r="B70" s="13">
        <v>333</v>
      </c>
      <c r="C70" s="17">
        <v>25</v>
      </c>
      <c r="F70" s="12" t="s">
        <v>104</v>
      </c>
      <c r="G70" s="16">
        <v>85000</v>
      </c>
    </row>
    <row r="71" spans="1:7" x14ac:dyDescent="0.3">
      <c r="A71" s="12" t="s">
        <v>105</v>
      </c>
      <c r="B71" s="13">
        <v>386</v>
      </c>
      <c r="C71" s="17">
        <v>22</v>
      </c>
      <c r="F71" s="12" t="s">
        <v>105</v>
      </c>
      <c r="G71" s="16">
        <v>74800</v>
      </c>
    </row>
    <row r="72" spans="1:7" x14ac:dyDescent="0.3">
      <c r="A72" s="12" t="s">
        <v>106</v>
      </c>
      <c r="B72" s="13">
        <v>329</v>
      </c>
      <c r="C72" s="17">
        <v>24</v>
      </c>
      <c r="F72" s="12" t="s">
        <v>106</v>
      </c>
      <c r="G72" s="16">
        <v>81600</v>
      </c>
    </row>
    <row r="73" spans="1:7" x14ac:dyDescent="0.3">
      <c r="A73" s="12" t="s">
        <v>107</v>
      </c>
      <c r="B73" s="13">
        <v>332</v>
      </c>
      <c r="C73" s="17">
        <v>22</v>
      </c>
      <c r="F73" s="12" t="s">
        <v>107</v>
      </c>
      <c r="G73" s="16">
        <v>74800</v>
      </c>
    </row>
    <row r="74" spans="1:7" x14ac:dyDescent="0.3">
      <c r="A74" s="12" t="s">
        <v>108</v>
      </c>
      <c r="B74" s="13">
        <v>384</v>
      </c>
      <c r="C74" s="17">
        <v>15</v>
      </c>
      <c r="F74" s="12" t="s">
        <v>108</v>
      </c>
      <c r="G74" s="16">
        <v>70000</v>
      </c>
    </row>
    <row r="75" spans="1:7" x14ac:dyDescent="0.3">
      <c r="A75" s="12" t="s">
        <v>109</v>
      </c>
      <c r="B75" s="13">
        <v>723</v>
      </c>
      <c r="C75" s="17">
        <v>37</v>
      </c>
      <c r="F75" s="12" t="s">
        <v>109</v>
      </c>
      <c r="G75" s="16">
        <v>125800</v>
      </c>
    </row>
    <row r="76" spans="1:7" x14ac:dyDescent="0.3">
      <c r="A76" s="12" t="s">
        <v>110</v>
      </c>
      <c r="B76" s="13">
        <v>350</v>
      </c>
      <c r="C76" s="17">
        <v>18</v>
      </c>
      <c r="F76" s="12" t="s">
        <v>110</v>
      </c>
      <c r="G76" s="16">
        <v>61200</v>
      </c>
    </row>
    <row r="77" spans="1:7" x14ac:dyDescent="0.3">
      <c r="A77" s="12" t="s">
        <v>111</v>
      </c>
      <c r="B77" s="13">
        <v>616</v>
      </c>
      <c r="C77" s="17">
        <v>36</v>
      </c>
      <c r="F77" s="12" t="s">
        <v>111</v>
      </c>
      <c r="G77" s="16">
        <v>122400</v>
      </c>
    </row>
    <row r="78" spans="1:7" x14ac:dyDescent="0.3">
      <c r="A78" s="12" t="s">
        <v>112</v>
      </c>
      <c r="B78" s="13">
        <v>711</v>
      </c>
      <c r="C78" s="17">
        <v>32</v>
      </c>
      <c r="F78" s="12" t="s">
        <v>112</v>
      </c>
      <c r="G78" s="16">
        <v>108800</v>
      </c>
    </row>
    <row r="79" spans="1:7" x14ac:dyDescent="0.3">
      <c r="A79" s="12" t="s">
        <v>40</v>
      </c>
      <c r="B79" s="13">
        <v>42921</v>
      </c>
      <c r="C79" s="17">
        <v>2739</v>
      </c>
      <c r="F79" s="12" t="s">
        <v>40</v>
      </c>
      <c r="G79" s="16">
        <v>8665400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73489-0524-413F-85E8-2B4A01282070}">
  <dimension ref="A1"/>
  <sheetViews>
    <sheetView zoomScale="80" zoomScaleNormal="80" workbookViewId="0">
      <selection activeCell="AB14" sqref="AB14"/>
    </sheetView>
  </sheetViews>
  <sheetFormatPr defaultRowHeight="14.4" x14ac:dyDescent="0.3"/>
  <cols>
    <col min="1" max="16384" width="8.8867187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Dolapo</dc:creator>
  <cp:lastModifiedBy>Ajah, Michael</cp:lastModifiedBy>
  <cp:lastPrinted>2025-07-23T12:40:49Z</cp:lastPrinted>
  <dcterms:created xsi:type="dcterms:W3CDTF">2022-11-05T09:07:16Z</dcterms:created>
  <dcterms:modified xsi:type="dcterms:W3CDTF">2026-01-21T10:41:13Z</dcterms:modified>
</cp:coreProperties>
</file>